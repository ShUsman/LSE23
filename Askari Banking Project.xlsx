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56D1DD7B-3E5C-4E68-BFC9-D5CADDD05631}" xr6:coauthVersionLast="36" xr6:coauthVersionMax="36" xr10:uidLastSave="{00000000-0000-0000-0000-000000000000}"/>
  <bookViews>
    <workbookView xWindow="0" yWindow="0" windowWidth="21570" windowHeight="7980" activeTab="4" xr2:uid="{00000000-000D-0000-FFFF-FFFF00000000}"/>
  </bookViews>
  <sheets>
    <sheet name="Balance Sheet" sheetId="1" r:id="rId1"/>
    <sheet name="Income Statement" sheetId="2" r:id="rId2"/>
    <sheet name="Profitability Ratio" sheetId="3" r:id="rId3"/>
    <sheet name="Risk Ratios" sheetId="4" r:id="rId4"/>
    <sheet name="CAMELS" sheetId="5" r:id="rId5"/>
    <sheet name="Sheet2" sheetId="6" r:id="rId6"/>
  </sheets>
  <calcPr calcId="191029"/>
</workbook>
</file>

<file path=xl/calcChain.xml><?xml version="1.0" encoding="utf-8"?>
<calcChain xmlns="http://schemas.openxmlformats.org/spreadsheetml/2006/main">
  <c r="N10" i="5" l="1"/>
  <c r="C89" i="3"/>
  <c r="D89" i="3"/>
  <c r="E89" i="3"/>
  <c r="F89" i="3"/>
  <c r="G89" i="3"/>
  <c r="I13" i="4" l="1"/>
  <c r="J13" i="4"/>
  <c r="K13" i="4"/>
  <c r="L13" i="4"/>
  <c r="H13" i="4"/>
  <c r="I33" i="4"/>
  <c r="J33" i="4"/>
  <c r="K33" i="4"/>
  <c r="L33" i="4"/>
  <c r="H33" i="4"/>
  <c r="J83" i="3"/>
  <c r="K83" i="3"/>
  <c r="L83" i="3"/>
  <c r="M83" i="3"/>
  <c r="I83" i="3"/>
  <c r="J81" i="3"/>
  <c r="K81" i="3"/>
  <c r="L81" i="3"/>
  <c r="M81" i="3"/>
  <c r="I81" i="3"/>
  <c r="J30" i="2"/>
  <c r="J41" i="1"/>
  <c r="J26" i="1"/>
  <c r="J28" i="1" s="1"/>
  <c r="F34" i="5"/>
  <c r="E34" i="5"/>
  <c r="D34" i="5"/>
  <c r="C34" i="5"/>
  <c r="B34" i="5"/>
  <c r="B11" i="5"/>
  <c r="I10" i="5"/>
  <c r="M8" i="5"/>
  <c r="L8" i="5"/>
  <c r="K8" i="5"/>
  <c r="J8" i="5"/>
  <c r="I8" i="5"/>
  <c r="M6" i="5"/>
  <c r="L6" i="5"/>
  <c r="K6" i="5"/>
  <c r="J6" i="5"/>
  <c r="I6" i="5"/>
  <c r="M5" i="5"/>
  <c r="L5" i="5"/>
  <c r="K5" i="5"/>
  <c r="J5" i="5"/>
  <c r="I5" i="5"/>
  <c r="F5" i="5"/>
  <c r="E5" i="5"/>
  <c r="D5" i="5"/>
  <c r="C5" i="5"/>
  <c r="B5" i="5"/>
  <c r="G96" i="3"/>
  <c r="F96" i="3"/>
  <c r="D96" i="3"/>
  <c r="C96" i="3"/>
  <c r="G95" i="3"/>
  <c r="F95" i="3"/>
  <c r="E95" i="3"/>
  <c r="D95" i="3"/>
  <c r="C95" i="3"/>
  <c r="G94" i="3"/>
  <c r="F94" i="3"/>
  <c r="E94" i="3"/>
  <c r="D94" i="3"/>
  <c r="C94" i="3"/>
  <c r="G93" i="3"/>
  <c r="F93" i="3"/>
  <c r="E93" i="3"/>
  <c r="D93" i="3"/>
  <c r="C93" i="3"/>
  <c r="G90" i="3"/>
  <c r="F90" i="3"/>
  <c r="E90" i="3"/>
  <c r="D90" i="3"/>
  <c r="C90" i="3"/>
  <c r="G83" i="3"/>
  <c r="F83" i="3"/>
  <c r="E83" i="3"/>
  <c r="D83" i="3"/>
  <c r="C83" i="3"/>
  <c r="G81" i="3"/>
  <c r="F81" i="3"/>
  <c r="E81" i="3"/>
  <c r="D81" i="3"/>
  <c r="C81" i="3"/>
  <c r="G78" i="3"/>
  <c r="F78" i="3"/>
  <c r="E78" i="3"/>
  <c r="D78" i="3"/>
  <c r="C78" i="3"/>
  <c r="G77" i="3"/>
  <c r="F77" i="3"/>
  <c r="E77" i="3"/>
  <c r="D77" i="3"/>
  <c r="C77" i="3"/>
  <c r="G69" i="3"/>
  <c r="F69" i="3"/>
  <c r="E69" i="3"/>
  <c r="D69" i="3"/>
  <c r="C69" i="3"/>
  <c r="G67" i="3"/>
  <c r="G66" i="3" s="1"/>
  <c r="F67" i="3"/>
  <c r="E67" i="3"/>
  <c r="D67" i="3"/>
  <c r="D66" i="3" s="1"/>
  <c r="C67" i="3"/>
  <c r="C66" i="3" s="1"/>
  <c r="F66" i="3"/>
  <c r="E66" i="3"/>
  <c r="G63" i="3"/>
  <c r="F63" i="3"/>
  <c r="E63" i="3"/>
  <c r="D63" i="3"/>
  <c r="C63" i="3"/>
  <c r="G58" i="3"/>
  <c r="F58" i="3"/>
  <c r="E58" i="3"/>
  <c r="D58" i="3"/>
  <c r="C58" i="3"/>
  <c r="AD52" i="3"/>
  <c r="AC52" i="3"/>
  <c r="AA52" i="3"/>
  <c r="Z52" i="3"/>
  <c r="AD49" i="3"/>
  <c r="AC49" i="3"/>
  <c r="AB49" i="3"/>
  <c r="AA49" i="3"/>
  <c r="Z49" i="3"/>
  <c r="AD47" i="3"/>
  <c r="AC47" i="3"/>
  <c r="AB47" i="3"/>
  <c r="AA47" i="3"/>
  <c r="Z47" i="3"/>
  <c r="AD46" i="3"/>
  <c r="AC46" i="3"/>
  <c r="AA46" i="3"/>
  <c r="Z46" i="3"/>
  <c r="AD43" i="3"/>
  <c r="AC43" i="3"/>
  <c r="AB43" i="3"/>
  <c r="AA43" i="3"/>
  <c r="Z43" i="3"/>
  <c r="G32" i="3"/>
  <c r="F32" i="3"/>
  <c r="E32" i="3"/>
  <c r="D32" i="3"/>
  <c r="C32" i="3"/>
  <c r="G31" i="3"/>
  <c r="F31" i="3"/>
  <c r="E31" i="3"/>
  <c r="D31" i="3"/>
  <c r="C31" i="3"/>
  <c r="G30" i="3"/>
  <c r="F30" i="3"/>
  <c r="F88" i="3" s="1"/>
  <c r="F86" i="3" s="1"/>
  <c r="D30" i="3"/>
  <c r="C30" i="3"/>
  <c r="G29" i="3"/>
  <c r="F29" i="3"/>
  <c r="E29" i="3"/>
  <c r="D29" i="3"/>
  <c r="C29" i="3"/>
  <c r="G27" i="3"/>
  <c r="G84" i="3" s="1"/>
  <c r="F27" i="3"/>
  <c r="F84" i="3" s="1"/>
  <c r="E27" i="3"/>
  <c r="E84" i="3" s="1"/>
  <c r="D27" i="3"/>
  <c r="D84" i="3" s="1"/>
  <c r="C27" i="3"/>
  <c r="C84" i="3" s="1"/>
  <c r="G18" i="3"/>
  <c r="G82" i="3" s="1"/>
  <c r="F18" i="3"/>
  <c r="F82" i="3" s="1"/>
  <c r="E18" i="3"/>
  <c r="E82" i="3" s="1"/>
  <c r="D18" i="3"/>
  <c r="D82" i="3" s="1"/>
  <c r="C18" i="3"/>
  <c r="C82" i="3" s="1"/>
  <c r="D30" i="2"/>
  <c r="D41" i="1"/>
  <c r="AB46" i="3" s="1"/>
  <c r="D26" i="1"/>
  <c r="D28" i="1" s="1"/>
  <c r="C80" i="3" l="1"/>
  <c r="E75" i="3"/>
  <c r="F80" i="3"/>
  <c r="G80" i="3"/>
  <c r="G76" i="3"/>
  <c r="G75" i="3"/>
  <c r="D88" i="3"/>
  <c r="D86" i="3" s="1"/>
  <c r="C88" i="3"/>
  <c r="C86" i="3" s="1"/>
  <c r="C92" i="3"/>
  <c r="AB52" i="3"/>
  <c r="D76" i="3"/>
  <c r="G92" i="3"/>
  <c r="D92" i="3"/>
  <c r="G88" i="3"/>
  <c r="G86" i="3" s="1"/>
  <c r="C76" i="3"/>
  <c r="F92" i="3"/>
  <c r="C74" i="3"/>
  <c r="E76" i="3"/>
  <c r="D75" i="3"/>
  <c r="F76" i="3"/>
  <c r="F75" i="3"/>
  <c r="D80" i="3"/>
  <c r="E80" i="3"/>
  <c r="E96" i="3"/>
  <c r="E92" i="3" s="1"/>
  <c r="D74" i="3"/>
  <c r="G74" i="3"/>
  <c r="C75" i="3"/>
  <c r="F74" i="3"/>
  <c r="E30" i="3"/>
  <c r="E88" i="3" s="1"/>
  <c r="E86" i="3" s="1"/>
  <c r="Z51" i="3"/>
  <c r="Z53" i="3" s="1"/>
  <c r="AA51" i="3"/>
  <c r="AA53" i="3" s="1"/>
  <c r="AB51" i="3"/>
  <c r="AC51" i="3"/>
  <c r="AC53" i="3" s="1"/>
  <c r="AD51" i="3"/>
  <c r="AD53" i="3" s="1"/>
  <c r="E74" i="3" l="1"/>
  <c r="AB53" i="3"/>
</calcChain>
</file>

<file path=xl/sharedStrings.xml><?xml version="1.0" encoding="utf-8"?>
<sst xmlns="http://schemas.openxmlformats.org/spreadsheetml/2006/main" count="309" uniqueCount="190">
  <si>
    <t>Rupees in ‘000</t>
  </si>
  <si>
    <t>Assets</t>
  </si>
  <si>
    <t>Cash and balances with treasury banks</t>
  </si>
  <si>
    <t>Balances with other banks</t>
  </si>
  <si>
    <t>Lendings to financial institutions</t>
  </si>
  <si>
    <t>–</t>
  </si>
  <si>
    <t>Investments</t>
  </si>
  <si>
    <t>Advances</t>
  </si>
  <si>
    <t>Fixed assets</t>
  </si>
  <si>
    <t>Intangible assets</t>
  </si>
  <si>
    <t>Deferred tax assets</t>
  </si>
  <si>
    <t>Other assets</t>
  </si>
  <si>
    <t>Assets attributable to discontinued operations</t>
  </si>
  <si>
    <t>Total Assets</t>
  </si>
  <si>
    <t>Liabilities</t>
  </si>
  <si>
    <t>Bills payable</t>
  </si>
  <si>
    <t>Borrowings</t>
  </si>
  <si>
    <t>Deposits and other accounts</t>
  </si>
  <si>
    <t>Liabilities against assets subject to finance lease</t>
  </si>
  <si>
    <t>Subordinated debts</t>
  </si>
  <si>
    <t>Deferred tax liabilities</t>
  </si>
  <si>
    <t>Other liabilities</t>
  </si>
  <si>
    <t>Total Liabilites</t>
  </si>
  <si>
    <t>Liabilities associated with discontionued operations</t>
  </si>
  <si>
    <t>Net Assets</t>
  </si>
  <si>
    <t>Represented By</t>
  </si>
  <si>
    <t>Share capital</t>
  </si>
  <si>
    <t>Reserves</t>
  </si>
  <si>
    <t>Surplus on revaluation of assets - net of tax</t>
  </si>
  <si>
    <t>Continued operations</t>
  </si>
  <si>
    <t>Discontinued operations</t>
  </si>
  <si>
    <t>Unappropriated profit</t>
  </si>
  <si>
    <t>Non-controlling interest</t>
  </si>
  <si>
    <t xml:space="preserve">Mark-up / return / interest earned </t>
  </si>
  <si>
    <t xml:space="preserve">77,569,443
</t>
  </si>
  <si>
    <t xml:space="preserve">79,118,320
</t>
  </si>
  <si>
    <t>Mark-up / return / interest expenses</t>
  </si>
  <si>
    <t>Net mark-up / interest income</t>
  </si>
  <si>
    <t>Non mark-up / interest income</t>
  </si>
  <si>
    <t>Fee and commission income</t>
  </si>
  <si>
    <t>Dividend income</t>
  </si>
  <si>
    <t>Foreign exchange income</t>
  </si>
  <si>
    <t>Income / (loss) from derivatives</t>
  </si>
  <si>
    <t>Gain on securities</t>
  </si>
  <si>
    <t>Other income</t>
  </si>
  <si>
    <t>Total non-markup / interest income</t>
  </si>
  <si>
    <t>Total income</t>
  </si>
  <si>
    <t>Non mark-up / interest expenses</t>
  </si>
  <si>
    <t>Operating expenses</t>
  </si>
  <si>
    <t>Workers’ welfare fund</t>
  </si>
  <si>
    <t>Total non-markup / interest expenses</t>
  </si>
  <si>
    <t>Profit before provisions</t>
  </si>
  <si>
    <t>Provisions and write offs - net</t>
  </si>
  <si>
    <t>Extraordinary / unusual items</t>
  </si>
  <si>
    <t>Profit before taxation</t>
  </si>
  <si>
    <t>Taxation</t>
  </si>
  <si>
    <t>Profit after taxation</t>
  </si>
  <si>
    <t>(Loss) / profit after taxation - discontinued operations</t>
  </si>
  <si>
    <t>Attributable to:</t>
  </si>
  <si>
    <t>Equity holders of the Bank</t>
  </si>
  <si>
    <t>Basic and diluted earnings per share</t>
  </si>
  <si>
    <t>Earning Assets</t>
  </si>
  <si>
    <t>Loans and Advances</t>
  </si>
  <si>
    <t>Lending to Financial Institutions - Net</t>
  </si>
  <si>
    <t xml:space="preserve">Balances with other banks </t>
  </si>
  <si>
    <t>TOTAL EARNING ASSETS</t>
  </si>
  <si>
    <t>Interest Bearing Liabilities</t>
  </si>
  <si>
    <t>Deposits (less of Current Accounts)</t>
  </si>
  <si>
    <t>Current Account Deposits</t>
  </si>
  <si>
    <t>Subordinated Debts</t>
  </si>
  <si>
    <t>Lease liability against ROU assets as per IFRS - 16 Leases</t>
  </si>
  <si>
    <t>Total Interest Bearing Liability</t>
  </si>
  <si>
    <t>Net Income</t>
  </si>
  <si>
    <t>Equity</t>
  </si>
  <si>
    <t>Total Operating Revenue</t>
  </si>
  <si>
    <t>Workings</t>
  </si>
  <si>
    <t>USE FOR NEXT RATIOS WHEN GIVEN</t>
  </si>
  <si>
    <t>Return on Equity</t>
  </si>
  <si>
    <t>ROE=(Net Income/ Pre-Tax Net Operating Income) * (Pre-Tax Net Operating Income/Total Operating Revenue) * (Total Operating Revenue/Total Assets) * (Total Assets/ TOtal Equity Capital )</t>
  </si>
  <si>
    <t>Credit Risk</t>
  </si>
  <si>
    <t>Nonperforming Loans/Total Loans</t>
  </si>
  <si>
    <t>Net Charge-Offs/Total Loans</t>
  </si>
  <si>
    <t>Provision for LOan Loses/Total Loans</t>
  </si>
  <si>
    <t>Provision for LOan Loses/Equity Capital</t>
  </si>
  <si>
    <t>Allowance for Loan Losses/ Toal Loans</t>
  </si>
  <si>
    <t>(Net Income/ Pre-Tax Net Operating Income)</t>
  </si>
  <si>
    <t>(Pre-Tax Net Operating Income/Total Operating Revenue)</t>
  </si>
  <si>
    <t>(Total Operating Revenue/Total Assets)</t>
  </si>
  <si>
    <t>(Total Assets/ TOtal Equity Capital )</t>
  </si>
  <si>
    <t xml:space="preserve">Market Risk Measures </t>
  </si>
  <si>
    <t>Book-Value of Assets/Market Value of Assets</t>
  </si>
  <si>
    <t>Book-Value of Equity/Market Value of Equity</t>
  </si>
  <si>
    <t>Market Value Per Share</t>
  </si>
  <si>
    <t>Number of Shares Outstanding</t>
  </si>
  <si>
    <t>Book Value of Shares</t>
  </si>
  <si>
    <t>Book-Value of Bonds/Market Value of Bonds</t>
  </si>
  <si>
    <t>Intrest Sensitive Assets/Intrest Sensitive Liabilities</t>
  </si>
  <si>
    <t>Intrest Sensitive Assets</t>
  </si>
  <si>
    <t>Intrest Sensitive Liabilitis</t>
  </si>
  <si>
    <t xml:space="preserve">Uninsured Deposits/Total Deposits </t>
  </si>
  <si>
    <t xml:space="preserve"> </t>
  </si>
  <si>
    <t>Uninsured Deposits</t>
  </si>
  <si>
    <t>Total Deposits</t>
  </si>
  <si>
    <t>Stock Price/Earnings Per Share</t>
  </si>
  <si>
    <t xml:space="preserve">Stock Price </t>
  </si>
  <si>
    <t>Earnings Per Share</t>
  </si>
  <si>
    <t>Profitability Ratios</t>
  </si>
  <si>
    <t>Return on Equity (ROE)</t>
  </si>
  <si>
    <t>Return on Assets (ROA)</t>
  </si>
  <si>
    <t>Net Interest Margin</t>
  </si>
  <si>
    <t>Net non Interest Margin</t>
  </si>
  <si>
    <t>NOM(Net Operating Margin)</t>
  </si>
  <si>
    <t>Earning Per Share</t>
  </si>
  <si>
    <t>Earning Spread</t>
  </si>
  <si>
    <t>Total Interest Income</t>
  </si>
  <si>
    <t>Total Earning Asset</t>
  </si>
  <si>
    <t>Total Interest Expense</t>
  </si>
  <si>
    <t xml:space="preserve">Equity Multiplier </t>
  </si>
  <si>
    <t>ROA = Net Profit Margin*Asset Utilization</t>
  </si>
  <si>
    <t>Net Profit Margin</t>
  </si>
  <si>
    <t>Asset Utilization</t>
  </si>
  <si>
    <t>Credit Risk Ratios</t>
  </si>
  <si>
    <t>Provision for loan losses/ Total Loans</t>
  </si>
  <si>
    <t>Provision for loan losses/ Equity Capital</t>
  </si>
  <si>
    <t>Allowance for loan losses/ Total Loans</t>
  </si>
  <si>
    <t>Allowance for Loan Losses / Equity Capital</t>
  </si>
  <si>
    <t>Non Perfoming Loans / Equity Capital</t>
  </si>
  <si>
    <t>Liquidity Risk Measures</t>
  </si>
  <si>
    <t>Purchased Funds / Total Assets</t>
  </si>
  <si>
    <t>Net Loans/Total Assets</t>
  </si>
  <si>
    <t>Cash and Due From Banks/Total Assets</t>
  </si>
  <si>
    <t>Cash and Government Securities/Total Assets</t>
  </si>
  <si>
    <t>Market Risk Measures</t>
  </si>
  <si>
    <t>Interest Rate Risk Measures</t>
  </si>
  <si>
    <t>Capital Risk Measures</t>
  </si>
  <si>
    <t>Equity Capital/Total Assets</t>
  </si>
  <si>
    <t>Purchased funds/Total liabilties</t>
  </si>
  <si>
    <t>Equity capital /Risk Assets</t>
  </si>
  <si>
    <t>Other Goals in Banking</t>
  </si>
  <si>
    <t>Operating Efficieny ratio</t>
  </si>
  <si>
    <t>Employee productivity ratio</t>
  </si>
  <si>
    <t>1. Capital Adequacy</t>
  </si>
  <si>
    <t>CAMELS</t>
  </si>
  <si>
    <t>Rank</t>
  </si>
  <si>
    <t>Weight</t>
  </si>
  <si>
    <t>Rank x Weight</t>
  </si>
  <si>
    <t>2. Asset Quality</t>
  </si>
  <si>
    <t>Total</t>
  </si>
  <si>
    <t>Average Rating</t>
  </si>
  <si>
    <t>3. Management</t>
  </si>
  <si>
    <t>4. Earnings</t>
  </si>
  <si>
    <t>Earnings (ROA)</t>
  </si>
  <si>
    <t>Earnings (ROE)</t>
  </si>
  <si>
    <t>5. Liquidity</t>
  </si>
  <si>
    <t>1. Adances/Deposits</t>
  </si>
  <si>
    <t xml:space="preserve">2. Circulating Assets/ Total Assets </t>
  </si>
  <si>
    <t>6. Sensitivity</t>
  </si>
  <si>
    <t>Purchased Funds</t>
  </si>
  <si>
    <r>
      <rPr>
        <b/>
        <sz val="14"/>
        <color theme="9" tint="-0.249977111117893"/>
        <rFont val="Calibri"/>
        <family val="2"/>
      </rPr>
      <t>C</t>
    </r>
    <r>
      <rPr>
        <b/>
        <sz val="14"/>
        <rFont val="Calibri"/>
      </rPr>
      <t>apital Adequacy</t>
    </r>
  </si>
  <si>
    <r>
      <rPr>
        <b/>
        <sz val="14"/>
        <color theme="9" tint="-0.249977111117893"/>
        <rFont val="Calibri"/>
        <family val="2"/>
      </rPr>
      <t>A</t>
    </r>
    <r>
      <rPr>
        <b/>
        <sz val="14"/>
        <rFont val="Calibri"/>
      </rPr>
      <t>sset Quality</t>
    </r>
  </si>
  <si>
    <r>
      <rPr>
        <b/>
        <sz val="14"/>
        <color theme="9" tint="-0.249977111117893"/>
        <rFont val="Calibri"/>
        <family val="2"/>
      </rPr>
      <t>M</t>
    </r>
    <r>
      <rPr>
        <b/>
        <sz val="14"/>
        <rFont val="Calibri"/>
      </rPr>
      <t>anagement</t>
    </r>
  </si>
  <si>
    <r>
      <rPr>
        <b/>
        <sz val="14"/>
        <color theme="9" tint="-0.249977111117893"/>
        <rFont val="Calibri"/>
        <family val="2"/>
      </rPr>
      <t>E</t>
    </r>
    <r>
      <rPr>
        <b/>
        <sz val="14"/>
        <rFont val="Calibri"/>
      </rPr>
      <t xml:space="preserve">arnings </t>
    </r>
  </si>
  <si>
    <r>
      <rPr>
        <b/>
        <sz val="14"/>
        <color theme="9" tint="-0.249977111117893"/>
        <rFont val="Calibri"/>
        <family val="2"/>
      </rPr>
      <t>L</t>
    </r>
    <r>
      <rPr>
        <b/>
        <sz val="14"/>
        <rFont val="Calibri"/>
      </rPr>
      <t>iquidity</t>
    </r>
  </si>
  <si>
    <r>
      <rPr>
        <b/>
        <sz val="14"/>
        <color theme="9" tint="-0.249977111117893"/>
        <rFont val="Calibri"/>
        <family val="2"/>
      </rPr>
      <t>S</t>
    </r>
    <r>
      <rPr>
        <b/>
        <sz val="14"/>
        <rFont val="Calibri"/>
      </rPr>
      <t>ensitivity</t>
    </r>
  </si>
  <si>
    <t>Formula</t>
  </si>
  <si>
    <t>Net income/Total equity</t>
  </si>
  <si>
    <t>Net income/Total Asset</t>
  </si>
  <si>
    <t>(Interest income-Interest expense)/Total Assets</t>
  </si>
  <si>
    <t>(Non interest revenue-PLLL-Non interest expense)/Total Assets</t>
  </si>
  <si>
    <t>Net Operating Revenue/Total Assets</t>
  </si>
  <si>
    <t>Total Assets/Total Equity</t>
  </si>
  <si>
    <t>Total OP Revenues/Total Assets</t>
  </si>
  <si>
    <t>Pre-Tax Net Operating Income/ Total Operating Revenue</t>
  </si>
  <si>
    <t>Net Income/Pre-Tax Net Operating Income</t>
  </si>
  <si>
    <t>Total Operating Revenue/ Total Assets</t>
  </si>
  <si>
    <t>Total Assets/Total Equity Capital</t>
  </si>
  <si>
    <t>Expense Control Efficiency*Tax Management Efficiency*Asset Mangement Efficiency*Funds Management Efficiency</t>
  </si>
  <si>
    <t>NPM*EM*AU</t>
  </si>
  <si>
    <t>NI/Total OP Revenues</t>
  </si>
  <si>
    <t>NI/Total Shares Outstanding</t>
  </si>
  <si>
    <t>(Total Interest Income/Total Earning Assets-Total Interest Expense/Total Interest Bearing Liability</t>
  </si>
  <si>
    <t>(Non Performing Loans/No. of permamanet employees)</t>
  </si>
  <si>
    <t>Total Operating Expenses/Total Operating Revenues</t>
  </si>
  <si>
    <t>DU-Pont Analysis</t>
  </si>
  <si>
    <t>Variation in ROE</t>
  </si>
  <si>
    <t>Interest Sensitive Assets/Interest Sensitive Liabilities</t>
  </si>
  <si>
    <t>Tax management efficiency</t>
  </si>
  <si>
    <t>Expense control efficiency</t>
  </si>
  <si>
    <t>Asset management efficiency</t>
  </si>
  <si>
    <t>Funds management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</si>
</sst>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0.0%"/>
    <numFmt numFmtId="166" formatCode="0.000%"/>
    <numFmt numFmtId="167" formatCode="0.000"/>
    <numFmt numFmtId="168" formatCode="0.0"/>
  </numFmts>
  <fonts count="22">
    <font>
      <sz val="11"/>
      <name val="Calibri"/>
    </font>
    <font>
      <b/>
      <sz val="11"/>
      <name val="Calibri"/>
    </font>
    <font>
      <sz val="11"/>
      <color rgb="FFFF0000"/>
      <name val="Calibri"/>
    </font>
    <font>
      <sz val="18"/>
      <name val="Calibri"/>
    </font>
    <font>
      <b/>
      <sz val="18"/>
      <name val="Calibri"/>
    </font>
    <font>
      <sz val="18"/>
      <color rgb="FF000000"/>
      <name val="Inconsolata"/>
    </font>
    <font>
      <sz val="18"/>
      <color rgb="FF000000"/>
      <name val="Roboto"/>
    </font>
    <font>
      <sz val="18"/>
      <color rgb="FF000000"/>
      <name val="Calibri"/>
    </font>
    <font>
      <b/>
      <sz val="28"/>
      <name val="Calibri"/>
    </font>
    <font>
      <sz val="11"/>
      <name val="Calibri"/>
    </font>
    <font>
      <b/>
      <sz val="20"/>
      <name val="Calibri"/>
    </font>
    <font>
      <b/>
      <sz val="14"/>
      <name val="Calibri"/>
    </font>
    <font>
      <sz val="14"/>
      <name val="Calibri"/>
    </font>
    <font>
      <i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4"/>
      <color theme="9" tint="-0.249977111117893"/>
      <name val="Calibri"/>
      <family val="2"/>
    </font>
    <font>
      <b/>
      <sz val="14"/>
      <name val="Calibri"/>
      <family val="2"/>
    </font>
    <font>
      <b/>
      <sz val="18"/>
      <name val="Calibri"/>
      <family val="2"/>
    </font>
    <font>
      <sz val="18"/>
      <name val="Calibri"/>
      <family val="2"/>
    </font>
    <font>
      <sz val="14"/>
      <name val="Calibri"/>
      <family val="2"/>
    </font>
    <font>
      <b/>
      <sz val="2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BE5F1"/>
        <bgColor rgb="FFDBE5F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09">
    <xf numFmtId="0" fontId="0" fillId="0" borderId="0" xfId="0" applyFont="1" applyAlignment="1"/>
    <xf numFmtId="0" fontId="0" fillId="0" borderId="0" xfId="0" applyFont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3" fontId="5" fillId="2" borderId="1" xfId="0" applyNumberFormat="1" applyFont="1" applyFill="1" applyBorder="1"/>
    <xf numFmtId="3" fontId="6" fillId="2" borderId="1" xfId="0" applyNumberFormat="1" applyFont="1" applyFill="1" applyBorder="1"/>
    <xf numFmtId="0" fontId="3" fillId="0" borderId="1" xfId="0" applyFont="1" applyBorder="1"/>
    <xf numFmtId="0" fontId="3" fillId="0" borderId="1" xfId="0" applyFont="1" applyBorder="1"/>
    <xf numFmtId="0" fontId="3" fillId="0" borderId="0" xfId="0" applyFont="1" applyAlignment="1">
      <alignment horizontal="left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4" fontId="3" fillId="4" borderId="1" xfId="0" applyNumberFormat="1" applyFont="1" applyFill="1" applyBorder="1"/>
    <xf numFmtId="0" fontId="3" fillId="0" borderId="2" xfId="0" applyFont="1" applyBorder="1"/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0" fontId="12" fillId="0" borderId="3" xfId="0" applyNumberFormat="1" applyFont="1" applyBorder="1" applyAlignment="1">
      <alignment horizontal="center"/>
    </xf>
    <xf numFmtId="10" fontId="12" fillId="0" borderId="4" xfId="0" applyNumberFormat="1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2" fontId="12" fillId="0" borderId="3" xfId="0" applyNumberFormat="1" applyFont="1" applyBorder="1" applyAlignment="1">
      <alignment horizontal="center"/>
    </xf>
    <xf numFmtId="2" fontId="0" fillId="0" borderId="0" xfId="0" applyNumberFormat="1" applyFont="1"/>
    <xf numFmtId="167" fontId="12" fillId="0" borderId="3" xfId="0" applyNumberFormat="1" applyFont="1" applyBorder="1" applyAlignment="1">
      <alignment horizontal="center"/>
    </xf>
    <xf numFmtId="167" fontId="12" fillId="0" borderId="4" xfId="0" applyNumberFormat="1" applyFont="1" applyBorder="1" applyAlignment="1">
      <alignment horizontal="center"/>
    </xf>
    <xf numFmtId="10" fontId="11" fillId="0" borderId="2" xfId="0" applyNumberFormat="1" applyFont="1" applyBorder="1" applyAlignment="1">
      <alignment horizontal="center"/>
    </xf>
    <xf numFmtId="0" fontId="13" fillId="0" borderId="0" xfId="0" applyFont="1"/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9" fillId="0" borderId="6" xfId="0" applyFont="1" applyBorder="1" applyAlignment="1"/>
    <xf numFmtId="0" fontId="9" fillId="0" borderId="7" xfId="0" applyFont="1" applyBorder="1" applyAlignment="1"/>
    <xf numFmtId="0" fontId="0" fillId="0" borderId="8" xfId="0" applyFont="1" applyBorder="1" applyAlignment="1"/>
    <xf numFmtId="0" fontId="9" fillId="0" borderId="9" xfId="0" applyFont="1" applyBorder="1" applyAlignment="1"/>
    <xf numFmtId="0" fontId="9" fillId="0" borderId="10" xfId="0" applyFont="1" applyBorder="1" applyAlignment="1"/>
    <xf numFmtId="0" fontId="0" fillId="0" borderId="5" xfId="0" applyFont="1" applyBorder="1" applyAlignment="1"/>
    <xf numFmtId="0" fontId="0" fillId="0" borderId="0" xfId="0" applyFont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4" fillId="0" borderId="13" xfId="0" applyFont="1" applyBorder="1" applyAlignment="1">
      <alignment wrapText="1"/>
    </xf>
    <xf numFmtId="0" fontId="15" fillId="0" borderId="13" xfId="0" applyFont="1" applyBorder="1" applyAlignment="1">
      <alignment horizontal="right" wrapText="1"/>
    </xf>
    <xf numFmtId="3" fontId="14" fillId="0" borderId="13" xfId="0" applyNumberFormat="1" applyFont="1" applyBorder="1" applyAlignment="1">
      <alignment horizontal="right" wrapText="1"/>
    </xf>
    <xf numFmtId="0" fontId="4" fillId="5" borderId="14" xfId="0" applyFont="1" applyFill="1" applyBorder="1" applyAlignment="1">
      <alignment horizontal="center"/>
    </xf>
    <xf numFmtId="10" fontId="3" fillId="0" borderId="14" xfId="0" applyNumberFormat="1" applyFont="1" applyBorder="1" applyAlignment="1">
      <alignment horizontal="center"/>
    </xf>
    <xf numFmtId="0" fontId="18" fillId="5" borderId="14" xfId="0" applyFont="1" applyFill="1" applyBorder="1" applyAlignment="1">
      <alignment horizontal="center"/>
    </xf>
    <xf numFmtId="10" fontId="19" fillId="0" borderId="14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10" fontId="12" fillId="0" borderId="14" xfId="0" applyNumberFormat="1" applyFont="1" applyBorder="1" applyAlignment="1">
      <alignment horizontal="center"/>
    </xf>
    <xf numFmtId="167" fontId="12" fillId="0" borderId="14" xfId="0" applyNumberFormat="1" applyFont="1" applyBorder="1" applyAlignment="1">
      <alignment horizontal="center"/>
    </xf>
    <xf numFmtId="0" fontId="9" fillId="0" borderId="1" xfId="0" applyFont="1" applyBorder="1" applyAlignment="1"/>
    <xf numFmtId="10" fontId="20" fillId="0" borderId="3" xfId="0" applyNumberFormat="1" applyFont="1" applyBorder="1" applyAlignment="1">
      <alignment horizontal="center"/>
    </xf>
    <xf numFmtId="0" fontId="21" fillId="0" borderId="15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/>
    </xf>
    <xf numFmtId="10" fontId="3" fillId="6" borderId="3" xfId="0" applyNumberFormat="1" applyFont="1" applyFill="1" applyBorder="1" applyAlignment="1">
      <alignment horizontal="center"/>
    </xf>
    <xf numFmtId="10" fontId="3" fillId="6" borderId="4" xfId="0" applyNumberFormat="1" applyFont="1" applyFill="1" applyBorder="1" applyAlignment="1">
      <alignment horizontal="center"/>
    </xf>
    <xf numFmtId="10" fontId="3" fillId="6" borderId="14" xfId="0" applyNumberFormat="1" applyFont="1" applyFill="1" applyBorder="1" applyAlignment="1">
      <alignment horizontal="center"/>
    </xf>
    <xf numFmtId="10" fontId="19" fillId="6" borderId="14" xfId="0" applyNumberFormat="1" applyFont="1" applyFill="1" applyBorder="1" applyAlignment="1">
      <alignment horizontal="center"/>
    </xf>
    <xf numFmtId="0" fontId="12" fillId="0" borderId="3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7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9" fontId="12" fillId="0" borderId="3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10" fontId="12" fillId="0" borderId="0" xfId="0" applyNumberFormat="1" applyFont="1" applyAlignment="1">
      <alignment horizontal="center"/>
    </xf>
    <xf numFmtId="168" fontId="11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5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164" fontId="14" fillId="0" borderId="1" xfId="0" applyNumberFormat="1" applyFont="1" applyFill="1" applyBorder="1" applyAlignment="1">
      <alignment horizontal="center"/>
    </xf>
    <xf numFmtId="3" fontId="14" fillId="0" borderId="0" xfId="0" applyNumberFormat="1" applyFont="1" applyFill="1" applyAlignment="1">
      <alignment horizontal="center"/>
    </xf>
    <xf numFmtId="3" fontId="14" fillId="0" borderId="1" xfId="0" applyNumberFormat="1" applyFont="1" applyFill="1" applyBorder="1" applyAlignment="1">
      <alignment horizontal="center"/>
    </xf>
    <xf numFmtId="10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3" fontId="0" fillId="0" borderId="0" xfId="0" applyNumberFormat="1" applyFont="1" applyFill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2" fillId="0" borderId="0" xfId="0" applyNumberFormat="1" applyFont="1" applyFill="1" applyAlignment="1">
      <alignment horizontal="center"/>
    </xf>
    <xf numFmtId="0" fontId="16" fillId="0" borderId="3" xfId="0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166" fontId="3" fillId="7" borderId="3" xfId="0" applyNumberFormat="1" applyFont="1" applyFill="1" applyBorder="1" applyAlignment="1">
      <alignment horizontal="center"/>
    </xf>
    <xf numFmtId="166" fontId="3" fillId="7" borderId="4" xfId="0" applyNumberFormat="1" applyFont="1" applyFill="1" applyBorder="1" applyAlignment="1">
      <alignment horizontal="center"/>
    </xf>
    <xf numFmtId="10" fontId="19" fillId="7" borderId="14" xfId="0" applyNumberFormat="1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3" fontId="3" fillId="7" borderId="3" xfId="0" applyNumberFormat="1" applyFont="1" applyFill="1" applyBorder="1" applyAlignment="1">
      <alignment horizontal="center"/>
    </xf>
    <xf numFmtId="3" fontId="3" fillId="7" borderId="4" xfId="0" applyNumberFormat="1" applyFont="1" applyFill="1" applyBorder="1" applyAlignment="1">
      <alignment horizontal="center"/>
    </xf>
    <xf numFmtId="10" fontId="3" fillId="7" borderId="14" xfId="0" applyNumberFormat="1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167" fontId="12" fillId="7" borderId="3" xfId="0" applyNumberFormat="1" applyFont="1" applyFill="1" applyBorder="1" applyAlignment="1">
      <alignment horizontal="center"/>
    </xf>
    <xf numFmtId="167" fontId="12" fillId="7" borderId="4" xfId="0" applyNumberFormat="1" applyFont="1" applyFill="1" applyBorder="1" applyAlignment="1">
      <alignment horizontal="center"/>
    </xf>
    <xf numFmtId="167" fontId="12" fillId="7" borderId="14" xfId="0" applyNumberFormat="1" applyFont="1" applyFill="1" applyBorder="1" applyAlignment="1">
      <alignment horizontal="center"/>
    </xf>
    <xf numFmtId="10" fontId="3" fillId="0" borderId="3" xfId="1" applyNumberFormat="1" applyFont="1" applyBorder="1" applyAlignment="1">
      <alignment horizontal="center"/>
    </xf>
    <xf numFmtId="10" fontId="3" fillId="0" borderId="4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2263106</xdr:colOff>
      <xdr:row>98</xdr:row>
      <xdr:rowOff>183817</xdr:rowOff>
    </xdr:from>
    <xdr:to>
      <xdr:col>7</xdr:col>
      <xdr:colOff>11413879</xdr:colOff>
      <xdr:row>118</xdr:row>
      <xdr:rowOff>133684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DD004C-2656-4493-B5D9-A2AD9E8EA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0080" y="8355264"/>
          <a:ext cx="14765510" cy="39603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11</xdr:row>
      <xdr:rowOff>28575</xdr:rowOff>
    </xdr:from>
    <xdr:to>
      <xdr:col>19</xdr:col>
      <xdr:colOff>409575</xdr:colOff>
      <xdr:row>26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D7CE56-6E92-4804-9ED4-531733C2E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9975" y="2647950"/>
          <a:ext cx="8096250" cy="3714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1"/>
  <sheetViews>
    <sheetView zoomScale="91" zoomScaleNormal="91" workbookViewId="0">
      <selection activeCell="O14" sqref="O14"/>
    </sheetView>
  </sheetViews>
  <sheetFormatPr defaultColWidth="14.42578125" defaultRowHeight="15" customHeight="1"/>
  <cols>
    <col min="1" max="1" width="44.5703125" style="89" customWidth="1"/>
    <col min="2" max="2" width="14" style="89" hidden="1" customWidth="1"/>
    <col min="3" max="3" width="12.28515625" style="89" hidden="1" customWidth="1"/>
    <col min="4" max="4" width="14" style="89" hidden="1" customWidth="1"/>
    <col min="5" max="6" width="12.28515625" style="89" hidden="1" customWidth="1"/>
    <col min="7" max="7" width="8.7109375" style="89" hidden="1" customWidth="1"/>
    <col min="8" max="8" width="11.85546875" style="89" customWidth="1"/>
    <col min="9" max="11" width="11.85546875" style="89" bestFit="1" customWidth="1"/>
    <col min="12" max="12" width="13.42578125" style="89" bestFit="1" customWidth="1"/>
    <col min="13" max="13" width="8.7109375" style="89" customWidth="1"/>
    <col min="14" max="14" width="11" style="89" customWidth="1"/>
    <col min="15" max="16384" width="14.42578125" style="89"/>
  </cols>
  <sheetData>
    <row r="1" spans="1:12" s="89" customFormat="1">
      <c r="A1" s="90" t="s">
        <v>0</v>
      </c>
      <c r="B1" s="90">
        <v>2021</v>
      </c>
      <c r="C1" s="90">
        <v>2020</v>
      </c>
      <c r="D1" s="90">
        <v>2019</v>
      </c>
      <c r="E1" s="90">
        <v>2018</v>
      </c>
      <c r="F1" s="90">
        <v>2017</v>
      </c>
      <c r="H1" s="90">
        <v>2017</v>
      </c>
      <c r="I1" s="90">
        <v>2018</v>
      </c>
      <c r="J1" s="90">
        <v>2019</v>
      </c>
      <c r="K1" s="90">
        <v>2020</v>
      </c>
      <c r="L1" s="90">
        <v>2021</v>
      </c>
    </row>
    <row r="2" spans="1:12" s="89" customFormat="1">
      <c r="A2" s="90"/>
    </row>
    <row r="3" spans="1:12" s="89" customFormat="1">
      <c r="A3" s="90" t="s">
        <v>1</v>
      </c>
    </row>
    <row r="4" spans="1:12" s="89" customFormat="1">
      <c r="A4" s="90" t="s">
        <v>2</v>
      </c>
      <c r="B4" s="91">
        <v>89432245</v>
      </c>
      <c r="C4" s="91">
        <v>73651718</v>
      </c>
      <c r="D4" s="91">
        <v>63039290</v>
      </c>
      <c r="E4" s="91">
        <v>49187645</v>
      </c>
      <c r="F4" s="91">
        <v>44239325</v>
      </c>
      <c r="H4" s="91">
        <v>44239325</v>
      </c>
      <c r="I4" s="91">
        <v>49187645</v>
      </c>
      <c r="J4" s="91">
        <v>63039290</v>
      </c>
      <c r="K4" s="91">
        <v>73651718</v>
      </c>
      <c r="L4" s="91">
        <v>89432245</v>
      </c>
    </row>
    <row r="5" spans="1:12" s="89" customFormat="1">
      <c r="A5" s="90" t="s">
        <v>3</v>
      </c>
      <c r="B5" s="92">
        <v>3556215</v>
      </c>
      <c r="C5" s="92">
        <v>8196147</v>
      </c>
      <c r="D5" s="92">
        <v>7886702</v>
      </c>
      <c r="E5" s="92">
        <v>4093402</v>
      </c>
      <c r="F5" s="92">
        <v>3193835</v>
      </c>
      <c r="H5" s="92">
        <v>3193835</v>
      </c>
      <c r="I5" s="92">
        <v>4093402</v>
      </c>
      <c r="J5" s="92">
        <v>7886702</v>
      </c>
      <c r="K5" s="92">
        <v>8196147</v>
      </c>
      <c r="L5" s="92">
        <v>3556215</v>
      </c>
    </row>
    <row r="6" spans="1:12" s="89" customFormat="1">
      <c r="A6" s="90" t="s">
        <v>4</v>
      </c>
      <c r="B6" s="89" t="s">
        <v>5</v>
      </c>
      <c r="C6" s="89" t="s">
        <v>5</v>
      </c>
      <c r="D6" s="91">
        <v>20405972</v>
      </c>
      <c r="E6" s="89" t="s">
        <v>5</v>
      </c>
      <c r="F6" s="91">
        <v>2250000</v>
      </c>
      <c r="H6" s="91">
        <v>2250000</v>
      </c>
      <c r="I6" s="89" t="s">
        <v>5</v>
      </c>
      <c r="J6" s="91">
        <v>20405972</v>
      </c>
      <c r="K6" s="89" t="s">
        <v>5</v>
      </c>
      <c r="L6" s="89" t="s">
        <v>5</v>
      </c>
    </row>
    <row r="7" spans="1:12" s="89" customFormat="1">
      <c r="A7" s="90" t="s">
        <v>6</v>
      </c>
      <c r="B7" s="91">
        <v>616231172</v>
      </c>
      <c r="C7" s="91">
        <v>449611987</v>
      </c>
      <c r="D7" s="91">
        <v>305435633</v>
      </c>
      <c r="E7" s="92">
        <v>260233987</v>
      </c>
      <c r="F7" s="91">
        <v>314956748</v>
      </c>
      <c r="H7" s="91">
        <v>314956748</v>
      </c>
      <c r="I7" s="92">
        <v>260233987</v>
      </c>
      <c r="J7" s="91">
        <v>305435633</v>
      </c>
      <c r="K7" s="91">
        <v>449611987</v>
      </c>
      <c r="L7" s="91">
        <v>616231172</v>
      </c>
    </row>
    <row r="8" spans="1:12" s="89" customFormat="1">
      <c r="A8" s="90" t="s">
        <v>7</v>
      </c>
      <c r="B8" s="91">
        <v>477673022</v>
      </c>
      <c r="C8" s="91">
        <v>395416055</v>
      </c>
      <c r="D8" s="91">
        <v>372913863</v>
      </c>
      <c r="E8" s="91">
        <v>343107147</v>
      </c>
      <c r="F8" s="91">
        <v>258693086</v>
      </c>
      <c r="H8" s="91">
        <v>258693086</v>
      </c>
      <c r="I8" s="91">
        <v>343107147</v>
      </c>
      <c r="J8" s="91">
        <v>372913863</v>
      </c>
      <c r="K8" s="91">
        <v>395416055</v>
      </c>
      <c r="L8" s="91">
        <v>477673022</v>
      </c>
    </row>
    <row r="9" spans="1:12" s="89" customFormat="1">
      <c r="A9" s="90" t="s">
        <v>8</v>
      </c>
      <c r="B9" s="91">
        <v>20179222</v>
      </c>
      <c r="C9" s="91">
        <v>21232750</v>
      </c>
      <c r="D9" s="91">
        <v>19696568</v>
      </c>
      <c r="E9" s="91">
        <v>12791827</v>
      </c>
      <c r="F9" s="91">
        <v>9885958</v>
      </c>
      <c r="H9" s="91">
        <v>9885958</v>
      </c>
      <c r="I9" s="91">
        <v>12791827</v>
      </c>
      <c r="J9" s="91">
        <v>19696568</v>
      </c>
      <c r="K9" s="91">
        <v>21232750</v>
      </c>
      <c r="L9" s="91">
        <v>20179222</v>
      </c>
    </row>
    <row r="10" spans="1:12" s="89" customFormat="1">
      <c r="A10" s="90" t="s">
        <v>9</v>
      </c>
      <c r="B10" s="91">
        <v>1188985</v>
      </c>
      <c r="C10" s="91">
        <v>1158857</v>
      </c>
      <c r="D10" s="91">
        <v>808994</v>
      </c>
      <c r="E10" s="91">
        <v>741361</v>
      </c>
      <c r="F10" s="91">
        <v>842869</v>
      </c>
      <c r="H10" s="91">
        <v>842869</v>
      </c>
      <c r="I10" s="91">
        <v>741361</v>
      </c>
      <c r="J10" s="91">
        <v>808994</v>
      </c>
      <c r="K10" s="91">
        <v>1158857</v>
      </c>
      <c r="L10" s="91">
        <v>1188985</v>
      </c>
    </row>
    <row r="11" spans="1:12" s="89" customFormat="1">
      <c r="A11" s="90" t="s">
        <v>10</v>
      </c>
      <c r="B11" s="92">
        <v>5161697</v>
      </c>
      <c r="C11" s="92">
        <v>1597334</v>
      </c>
      <c r="D11" s="91">
        <v>2489752</v>
      </c>
      <c r="E11" s="91">
        <v>3773779</v>
      </c>
      <c r="F11" s="93">
        <v>100755</v>
      </c>
      <c r="H11" s="84">
        <v>100755</v>
      </c>
      <c r="I11" s="91">
        <v>3773779</v>
      </c>
      <c r="J11" s="91">
        <v>2489752</v>
      </c>
      <c r="K11" s="92">
        <v>1597334</v>
      </c>
      <c r="L11" s="92">
        <v>5161697</v>
      </c>
    </row>
    <row r="12" spans="1:12" s="89" customFormat="1">
      <c r="A12" s="90" t="s">
        <v>11</v>
      </c>
      <c r="B12" s="91">
        <v>45906052</v>
      </c>
      <c r="C12" s="91">
        <v>42021813</v>
      </c>
      <c r="D12" s="91">
        <v>40450512</v>
      </c>
      <c r="E12" s="91">
        <v>32522174</v>
      </c>
      <c r="F12" s="91">
        <v>28448099</v>
      </c>
      <c r="H12" s="91">
        <v>28448099</v>
      </c>
      <c r="I12" s="91">
        <v>32522174</v>
      </c>
      <c r="J12" s="91">
        <v>40450512</v>
      </c>
      <c r="K12" s="91">
        <v>42021813</v>
      </c>
      <c r="L12" s="91">
        <v>45906052</v>
      </c>
    </row>
    <row r="13" spans="1:12" s="89" customFormat="1">
      <c r="A13" s="90"/>
      <c r="D13" s="91">
        <v>833208006</v>
      </c>
      <c r="E13" s="91">
        <v>706451322</v>
      </c>
      <c r="F13" s="91">
        <v>662610675</v>
      </c>
      <c r="H13" s="91">
        <v>662610675</v>
      </c>
      <c r="I13" s="91">
        <v>706451322</v>
      </c>
      <c r="J13" s="91">
        <v>833208006</v>
      </c>
    </row>
    <row r="14" spans="1:12" s="89" customFormat="1">
      <c r="A14" s="90" t="s">
        <v>12</v>
      </c>
      <c r="D14" s="89">
        <v>315741</v>
      </c>
      <c r="E14" s="91">
        <v>214757</v>
      </c>
      <c r="F14" s="91">
        <v>327949</v>
      </c>
      <c r="H14" s="91">
        <v>327949</v>
      </c>
      <c r="I14" s="91">
        <v>214757</v>
      </c>
      <c r="J14" s="89">
        <v>315741</v>
      </c>
    </row>
    <row r="15" spans="1:12" s="89" customFormat="1">
      <c r="A15" s="90"/>
    </row>
    <row r="16" spans="1:12" s="89" customFormat="1">
      <c r="A16" s="90"/>
    </row>
    <row r="17" spans="1:14" s="89" customFormat="1">
      <c r="A17" s="90" t="s">
        <v>13</v>
      </c>
      <c r="B17" s="91">
        <v>1259328610</v>
      </c>
      <c r="C17" s="91">
        <v>992886661</v>
      </c>
      <c r="D17" s="91">
        <v>833443027</v>
      </c>
      <c r="E17" s="91">
        <v>706666079</v>
      </c>
      <c r="F17" s="91">
        <v>662938624</v>
      </c>
      <c r="H17" s="91">
        <v>662938624</v>
      </c>
      <c r="I17" s="91">
        <v>706666079</v>
      </c>
      <c r="J17" s="91">
        <v>833443027</v>
      </c>
      <c r="K17" s="91">
        <v>992886661</v>
      </c>
      <c r="L17" s="91">
        <v>1259328610</v>
      </c>
    </row>
    <row r="18" spans="1:14" s="89" customFormat="1">
      <c r="A18" s="90" t="s">
        <v>14</v>
      </c>
    </row>
    <row r="19" spans="1:14" s="89" customFormat="1">
      <c r="A19" s="90" t="s">
        <v>15</v>
      </c>
      <c r="B19" s="91">
        <v>10235374</v>
      </c>
      <c r="C19" s="91">
        <v>12629996</v>
      </c>
      <c r="D19" s="92">
        <v>15768947</v>
      </c>
      <c r="E19" s="92">
        <v>15512880</v>
      </c>
      <c r="F19" s="92">
        <v>10769262</v>
      </c>
      <c r="H19" s="92">
        <v>10769262</v>
      </c>
      <c r="I19" s="92">
        <v>15512880</v>
      </c>
      <c r="J19" s="92">
        <v>15768947</v>
      </c>
      <c r="K19" s="91">
        <v>12629996</v>
      </c>
      <c r="L19" s="91">
        <v>10235374</v>
      </c>
    </row>
    <row r="20" spans="1:14" s="89" customFormat="1">
      <c r="A20" s="90" t="s">
        <v>16</v>
      </c>
      <c r="B20" s="91">
        <v>123563761</v>
      </c>
      <c r="C20" s="91">
        <v>84163669</v>
      </c>
      <c r="D20" s="91">
        <v>51187681</v>
      </c>
      <c r="E20" s="91">
        <v>52702323</v>
      </c>
      <c r="F20" s="91">
        <v>71587311</v>
      </c>
      <c r="H20" s="91">
        <v>71587311</v>
      </c>
      <c r="I20" s="91">
        <v>52702323</v>
      </c>
      <c r="J20" s="91">
        <v>51187681</v>
      </c>
      <c r="K20" s="91">
        <v>84163669</v>
      </c>
      <c r="L20" s="91">
        <v>123563761</v>
      </c>
    </row>
    <row r="21" spans="1:14" s="89" customFormat="1" ht="15.75" customHeight="1">
      <c r="A21" s="90" t="s">
        <v>17</v>
      </c>
      <c r="B21" s="91">
        <v>1015162254</v>
      </c>
      <c r="C21" s="91">
        <v>790982287</v>
      </c>
      <c r="D21" s="91">
        <v>679246312</v>
      </c>
      <c r="E21" s="91">
        <v>573596926</v>
      </c>
      <c r="F21" s="91">
        <v>525805051</v>
      </c>
      <c r="H21" s="91">
        <v>525805051</v>
      </c>
      <c r="I21" s="91">
        <v>573596926</v>
      </c>
      <c r="J21" s="91">
        <v>679246312</v>
      </c>
      <c r="K21" s="91">
        <v>790982287</v>
      </c>
      <c r="L21" s="91">
        <v>1015162254</v>
      </c>
    </row>
    <row r="22" spans="1:14" s="89" customFormat="1" ht="15.75" customHeight="1">
      <c r="A22" s="90" t="s">
        <v>18</v>
      </c>
      <c r="B22" s="89" t="s">
        <v>5</v>
      </c>
      <c r="C22" s="89" t="s">
        <v>5</v>
      </c>
      <c r="D22" s="89" t="s">
        <v>5</v>
      </c>
      <c r="E22" s="89" t="s">
        <v>5</v>
      </c>
      <c r="F22" s="89" t="s">
        <v>5</v>
      </c>
      <c r="H22" s="89" t="s">
        <v>5</v>
      </c>
      <c r="I22" s="89" t="s">
        <v>5</v>
      </c>
      <c r="J22" s="89" t="s">
        <v>5</v>
      </c>
      <c r="K22" s="89" t="s">
        <v>5</v>
      </c>
      <c r="L22" s="89" t="s">
        <v>5</v>
      </c>
    </row>
    <row r="23" spans="1:14" s="89" customFormat="1" ht="15.75" customHeight="1">
      <c r="A23" s="90" t="s">
        <v>19</v>
      </c>
      <c r="B23" s="91">
        <v>12000000</v>
      </c>
      <c r="C23" s="91">
        <v>12000000</v>
      </c>
      <c r="D23" s="91">
        <v>9992000</v>
      </c>
      <c r="E23" s="92">
        <v>9993600</v>
      </c>
      <c r="F23" s="92">
        <v>4992800</v>
      </c>
      <c r="H23" s="92">
        <v>4992800</v>
      </c>
      <c r="I23" s="92">
        <v>9993600</v>
      </c>
      <c r="J23" s="91">
        <v>9992000</v>
      </c>
      <c r="K23" s="91">
        <v>12000000</v>
      </c>
      <c r="L23" s="91">
        <v>12000000</v>
      </c>
    </row>
    <row r="24" spans="1:14" s="89" customFormat="1" ht="15.75" customHeight="1">
      <c r="A24" s="90" t="s">
        <v>20</v>
      </c>
      <c r="B24" s="89" t="s">
        <v>5</v>
      </c>
      <c r="C24" s="89" t="s">
        <v>5</v>
      </c>
      <c r="D24" s="89" t="s">
        <v>5</v>
      </c>
      <c r="E24" s="89" t="s">
        <v>5</v>
      </c>
      <c r="F24" s="89" t="s">
        <v>5</v>
      </c>
      <c r="H24" s="89" t="s">
        <v>5</v>
      </c>
      <c r="I24" s="89" t="s">
        <v>5</v>
      </c>
      <c r="J24" s="89" t="s">
        <v>5</v>
      </c>
      <c r="K24" s="89" t="s">
        <v>5</v>
      </c>
      <c r="L24" s="89" t="s">
        <v>5</v>
      </c>
    </row>
    <row r="25" spans="1:14" s="89" customFormat="1" ht="15.75" customHeight="1">
      <c r="A25" s="90" t="s">
        <v>21</v>
      </c>
      <c r="B25" s="91">
        <v>42326358</v>
      </c>
      <c r="C25" s="91">
        <v>38429434</v>
      </c>
      <c r="D25" s="92">
        <v>34704048</v>
      </c>
      <c r="E25" s="92">
        <v>21178476</v>
      </c>
      <c r="F25" s="91">
        <v>17098223</v>
      </c>
      <c r="H25" s="91">
        <v>17098223</v>
      </c>
      <c r="I25" s="92">
        <v>21178476</v>
      </c>
      <c r="J25" s="92">
        <v>34704048</v>
      </c>
      <c r="K25" s="91">
        <v>38429434</v>
      </c>
      <c r="L25" s="91">
        <v>42326358</v>
      </c>
    </row>
    <row r="26" spans="1:14" s="89" customFormat="1" ht="15.75" customHeight="1">
      <c r="A26" s="90" t="s">
        <v>22</v>
      </c>
      <c r="B26" s="91">
        <v>1203287747</v>
      </c>
      <c r="C26" s="91">
        <v>938205386</v>
      </c>
      <c r="D26" s="91">
        <f>SUM(D19:D25)</f>
        <v>790898988</v>
      </c>
      <c r="E26" s="91">
        <v>672984205</v>
      </c>
      <c r="F26" s="91">
        <v>630252647</v>
      </c>
      <c r="H26" s="91">
        <v>630252647</v>
      </c>
      <c r="I26" s="91">
        <v>672984205</v>
      </c>
      <c r="J26" s="91">
        <f>SUM(J19:J25)</f>
        <v>790898988</v>
      </c>
      <c r="K26" s="91">
        <v>938205386</v>
      </c>
      <c r="L26" s="91">
        <v>1203287747</v>
      </c>
    </row>
    <row r="27" spans="1:14" s="89" customFormat="1" ht="15.75" customHeight="1">
      <c r="A27" s="90" t="s">
        <v>23</v>
      </c>
      <c r="B27" s="89" t="s">
        <v>5</v>
      </c>
      <c r="C27" s="89" t="s">
        <v>5</v>
      </c>
      <c r="D27" s="89">
        <v>141856</v>
      </c>
      <c r="E27" s="92">
        <v>81513</v>
      </c>
      <c r="F27" s="92">
        <v>140741</v>
      </c>
      <c r="H27" s="92">
        <v>140741</v>
      </c>
      <c r="I27" s="92">
        <v>81513</v>
      </c>
      <c r="J27" s="89">
        <v>141856</v>
      </c>
      <c r="K27" s="89" t="s">
        <v>5</v>
      </c>
      <c r="L27" s="89" t="s">
        <v>5</v>
      </c>
    </row>
    <row r="28" spans="1:14" s="89" customFormat="1" ht="15.75" customHeight="1">
      <c r="A28" s="90"/>
      <c r="D28" s="91">
        <f>SUM(D26:D27)</f>
        <v>791040844</v>
      </c>
      <c r="E28" s="92">
        <v>673065718</v>
      </c>
      <c r="F28" s="92">
        <v>630393388</v>
      </c>
      <c r="H28" s="92">
        <v>630393388</v>
      </c>
      <c r="I28" s="92">
        <v>673065718</v>
      </c>
      <c r="J28" s="91">
        <f>SUM(J26:J27)</f>
        <v>791040844</v>
      </c>
      <c r="N28" s="91"/>
    </row>
    <row r="29" spans="1:14" s="89" customFormat="1" ht="15.75" customHeight="1">
      <c r="A29" s="90" t="s">
        <v>24</v>
      </c>
      <c r="B29" s="91">
        <v>56040863</v>
      </c>
      <c r="C29" s="91">
        <v>54681275</v>
      </c>
      <c r="D29" s="91">
        <v>42402183</v>
      </c>
      <c r="E29" s="91">
        <v>33600361</v>
      </c>
      <c r="F29" s="91">
        <v>32545236</v>
      </c>
      <c r="H29" s="91">
        <v>32545236</v>
      </c>
      <c r="I29" s="91">
        <v>33600361</v>
      </c>
      <c r="J29" s="91">
        <v>42402183</v>
      </c>
      <c r="K29" s="91">
        <v>54681275</v>
      </c>
      <c r="L29" s="91">
        <v>56040863</v>
      </c>
    </row>
    <row r="30" spans="1:14" s="89" customFormat="1" ht="15.75" customHeight="1">
      <c r="A30" s="90" t="s">
        <v>25</v>
      </c>
    </row>
    <row r="31" spans="1:14" s="89" customFormat="1" ht="15.75" customHeight="1">
      <c r="A31" s="90" t="s">
        <v>26</v>
      </c>
      <c r="B31" s="91">
        <v>12602602</v>
      </c>
      <c r="C31" s="91">
        <v>12602602</v>
      </c>
      <c r="D31" s="91">
        <v>12602602</v>
      </c>
      <c r="E31" s="91">
        <v>12602602</v>
      </c>
      <c r="F31" s="91">
        <v>12602602</v>
      </c>
      <c r="H31" s="91">
        <v>12602602</v>
      </c>
      <c r="I31" s="91">
        <v>12602602</v>
      </c>
      <c r="J31" s="91">
        <v>12602602</v>
      </c>
      <c r="K31" s="91">
        <v>12602602</v>
      </c>
      <c r="L31" s="91">
        <v>12602602</v>
      </c>
    </row>
    <row r="32" spans="1:14" s="89" customFormat="1" ht="15.75" customHeight="1">
      <c r="A32" s="90" t="s">
        <v>27</v>
      </c>
      <c r="B32" s="91">
        <v>32832051</v>
      </c>
      <c r="C32" s="91">
        <v>25701665</v>
      </c>
      <c r="D32" s="91">
        <v>19408889</v>
      </c>
      <c r="E32" s="91">
        <v>15588694</v>
      </c>
      <c r="F32" s="91">
        <v>12032263</v>
      </c>
      <c r="H32" s="91">
        <v>12032263</v>
      </c>
      <c r="I32" s="91">
        <v>15588694</v>
      </c>
      <c r="J32" s="91">
        <v>19408889</v>
      </c>
      <c r="K32" s="91">
        <v>25701665</v>
      </c>
      <c r="L32" s="91">
        <v>32832051</v>
      </c>
    </row>
    <row r="33" spans="1:12" s="89" customFormat="1" ht="15.75" customHeight="1">
      <c r="A33" s="90" t="s">
        <v>28</v>
      </c>
      <c r="B33" s="91">
        <v>1987976</v>
      </c>
      <c r="C33" s="91">
        <v>7670955</v>
      </c>
      <c r="K33" s="91">
        <v>7670955</v>
      </c>
      <c r="L33" s="91">
        <v>1987976</v>
      </c>
    </row>
    <row r="34" spans="1:12" s="89" customFormat="1" ht="15.75" customHeight="1">
      <c r="A34" s="90" t="s">
        <v>29</v>
      </c>
      <c r="B34" s="91">
        <v>8618234</v>
      </c>
      <c r="C34" s="91">
        <v>8706053</v>
      </c>
      <c r="D34" s="91">
        <v>4300426</v>
      </c>
      <c r="E34" s="92">
        <v>1649197</v>
      </c>
      <c r="F34" s="92">
        <v>5142254</v>
      </c>
      <c r="H34" s="92">
        <v>5142254</v>
      </c>
      <c r="I34" s="92">
        <v>1649197</v>
      </c>
      <c r="J34" s="91">
        <v>4300426</v>
      </c>
      <c r="K34" s="91">
        <v>8706053</v>
      </c>
      <c r="L34" s="91">
        <v>8618234</v>
      </c>
    </row>
    <row r="35" spans="1:12" s="89" customFormat="1" ht="15.75" customHeight="1">
      <c r="A35" s="90" t="s">
        <v>30</v>
      </c>
      <c r="D35" s="91">
        <v>39467</v>
      </c>
      <c r="E35" s="92">
        <v>5723</v>
      </c>
      <c r="F35" s="92">
        <v>19877</v>
      </c>
      <c r="H35" s="92">
        <v>19877</v>
      </c>
      <c r="I35" s="92">
        <v>5723</v>
      </c>
      <c r="J35" s="91">
        <v>39467</v>
      </c>
    </row>
    <row r="36" spans="1:12" s="89" customFormat="1" ht="15.75" customHeight="1">
      <c r="A36" s="90" t="s">
        <v>31</v>
      </c>
      <c r="D36" s="91">
        <v>6002253</v>
      </c>
      <c r="E36" s="91">
        <v>3710867</v>
      </c>
      <c r="F36" s="91">
        <v>2703887</v>
      </c>
      <c r="H36" s="91">
        <v>2703887</v>
      </c>
      <c r="I36" s="91">
        <v>3710867</v>
      </c>
      <c r="J36" s="91">
        <v>6002253</v>
      </c>
    </row>
    <row r="37" spans="1:12" s="89" customFormat="1" ht="15.75" customHeight="1">
      <c r="A37" s="90"/>
      <c r="D37" s="91">
        <v>42353637</v>
      </c>
      <c r="E37" s="91">
        <v>33557083</v>
      </c>
      <c r="F37" s="91">
        <v>32500883</v>
      </c>
      <c r="H37" s="91">
        <v>32500883</v>
      </c>
      <c r="I37" s="91">
        <v>33557083</v>
      </c>
      <c r="J37" s="91">
        <v>42353637</v>
      </c>
    </row>
    <row r="38" spans="1:12" s="89" customFormat="1" ht="15.75" customHeight="1">
      <c r="A38" s="90"/>
    </row>
    <row r="39" spans="1:12" s="89" customFormat="1" ht="15.75" customHeight="1">
      <c r="A39" s="90" t="s">
        <v>32</v>
      </c>
      <c r="B39" s="89" t="s">
        <v>5</v>
      </c>
      <c r="C39" s="89" t="s">
        <v>5</v>
      </c>
      <c r="D39" s="91">
        <v>48546</v>
      </c>
      <c r="E39" s="91">
        <v>43278</v>
      </c>
      <c r="F39" s="91">
        <v>44353</v>
      </c>
      <c r="H39" s="91">
        <v>44353</v>
      </c>
      <c r="I39" s="91">
        <v>43278</v>
      </c>
      <c r="J39" s="91">
        <v>48546</v>
      </c>
      <c r="K39" s="89" t="s">
        <v>5</v>
      </c>
      <c r="L39" s="89" t="s">
        <v>5</v>
      </c>
    </row>
    <row r="40" spans="1:12" s="89" customFormat="1" ht="15.75" customHeight="1">
      <c r="E40" s="91"/>
      <c r="I40" s="91"/>
    </row>
    <row r="41" spans="1:12" s="89" customFormat="1" ht="15.75" customHeight="1">
      <c r="B41" s="91">
        <v>56040863</v>
      </c>
      <c r="C41" s="91">
        <v>54681275</v>
      </c>
      <c r="D41" s="91">
        <f>SUM(D37:D39)</f>
        <v>42402183</v>
      </c>
      <c r="E41" s="91">
        <v>33600361</v>
      </c>
      <c r="F41" s="91">
        <v>32545236</v>
      </c>
      <c r="H41" s="91">
        <v>32545236</v>
      </c>
      <c r="I41" s="91">
        <v>33600361</v>
      </c>
      <c r="J41" s="91">
        <f>SUM(J37:J39)</f>
        <v>42402183</v>
      </c>
      <c r="K41" s="91">
        <v>54681275</v>
      </c>
      <c r="L41" s="91">
        <v>56040863</v>
      </c>
    </row>
    <row r="42" spans="1:12" s="89" customFormat="1" ht="15.75" customHeight="1"/>
    <row r="43" spans="1:12" s="89" customFormat="1" ht="15.75" customHeight="1"/>
    <row r="44" spans="1:12" s="89" customFormat="1" ht="15.75" customHeight="1"/>
    <row r="45" spans="1:12" s="89" customFormat="1" ht="15.75" customHeight="1"/>
    <row r="46" spans="1:12" s="89" customFormat="1" ht="15.75" customHeight="1"/>
    <row r="47" spans="1:12" s="89" customFormat="1" ht="15.75" customHeight="1"/>
    <row r="48" spans="1:12" s="89" customFormat="1" ht="15.75" customHeight="1"/>
    <row r="49" s="89" customFormat="1" ht="15.75" customHeight="1"/>
    <row r="50" s="89" customFormat="1" ht="15.75" customHeight="1"/>
    <row r="51" s="89" customFormat="1" ht="15.75" customHeight="1"/>
    <row r="52" s="89" customFormat="1" ht="15.75" customHeight="1"/>
    <row r="53" s="89" customFormat="1" ht="15.75" customHeight="1"/>
    <row r="54" s="89" customFormat="1" ht="15.75" customHeight="1"/>
    <row r="55" s="89" customFormat="1" ht="15.75" customHeight="1"/>
    <row r="56" s="89" customFormat="1" ht="15.75" customHeight="1"/>
    <row r="57" s="89" customFormat="1" ht="15.75" customHeight="1"/>
    <row r="58" s="89" customFormat="1" ht="15.75" customHeight="1"/>
    <row r="59" s="89" customFormat="1" ht="15.75" customHeight="1"/>
    <row r="60" s="89" customFormat="1" ht="15.75" customHeight="1"/>
    <row r="61" s="89" customFormat="1" ht="15.75" customHeight="1"/>
    <row r="62" s="89" customFormat="1" ht="15.75" customHeight="1"/>
    <row r="63" s="89" customFormat="1" ht="15.75" customHeight="1"/>
    <row r="64" s="89" customFormat="1" ht="15.75" customHeight="1"/>
    <row r="65" s="89" customFormat="1" ht="15.75" customHeight="1"/>
    <row r="66" s="89" customFormat="1" ht="15.75" customHeight="1"/>
    <row r="67" s="89" customFormat="1" ht="15.75" customHeight="1"/>
    <row r="68" s="89" customFormat="1" ht="15.75" customHeight="1"/>
    <row r="69" s="89" customFormat="1" ht="15.75" customHeight="1"/>
    <row r="70" s="89" customFormat="1" ht="15.75" customHeight="1"/>
    <row r="71" s="89" customFormat="1" ht="15.75" customHeight="1"/>
    <row r="72" s="89" customFormat="1" ht="15.75" customHeight="1"/>
    <row r="73" s="89" customFormat="1" ht="15.75" customHeight="1"/>
    <row r="74" s="89" customFormat="1" ht="15.75" customHeight="1"/>
    <row r="75" s="89" customFormat="1" ht="15.75" customHeight="1"/>
    <row r="76" s="89" customFormat="1" ht="15.75" customHeight="1"/>
    <row r="77" s="89" customFormat="1" ht="15.75" customHeight="1"/>
    <row r="78" s="89" customFormat="1" ht="15.75" customHeight="1"/>
    <row r="79" s="89" customFormat="1" ht="15.75" customHeight="1"/>
    <row r="80" s="89" customFormat="1" ht="15.75" customHeight="1"/>
    <row r="81" s="89" customFormat="1" ht="15.75" customHeight="1"/>
    <row r="82" s="89" customFormat="1" ht="15.75" customHeight="1"/>
    <row r="83" s="89" customFormat="1" ht="15.75" customHeight="1"/>
    <row r="84" s="89" customFormat="1" ht="15.75" customHeight="1"/>
    <row r="85" s="89" customFormat="1" ht="15.75" customHeight="1"/>
    <row r="86" s="89" customFormat="1" ht="15.75" customHeight="1"/>
    <row r="87" s="89" customFormat="1" ht="15.75" customHeight="1"/>
    <row r="88" s="89" customFormat="1" ht="15.75" customHeight="1"/>
    <row r="89" s="89" customFormat="1" ht="15.75" customHeight="1"/>
    <row r="90" s="89" customFormat="1" ht="15.75" customHeight="1"/>
    <row r="91" s="89" customFormat="1" ht="15.75" customHeight="1"/>
    <row r="92" s="89" customFormat="1" ht="15.75" customHeight="1"/>
    <row r="93" s="89" customFormat="1" ht="15.75" customHeight="1"/>
    <row r="94" s="89" customFormat="1" ht="15.75" customHeight="1"/>
    <row r="95" s="89" customFormat="1" ht="15.75" customHeight="1"/>
    <row r="96" s="89" customFormat="1" ht="15.75" customHeight="1"/>
    <row r="97" s="89" customFormat="1" ht="15.75" customHeight="1"/>
    <row r="98" s="89" customFormat="1" ht="15.75" customHeight="1"/>
    <row r="99" s="89" customFormat="1" ht="15.75" customHeight="1"/>
    <row r="100" s="89" customFormat="1" ht="15.75" customHeight="1"/>
    <row r="101" s="89" customFormat="1" ht="15.75" customHeight="1"/>
    <row r="102" s="89" customFormat="1" ht="15.75" customHeight="1"/>
    <row r="103" s="89" customFormat="1" ht="15.75" customHeight="1"/>
    <row r="104" s="89" customFormat="1" ht="15.75" customHeight="1"/>
    <row r="105" s="89" customFormat="1" ht="15.75" customHeight="1"/>
    <row r="106" s="89" customFormat="1" ht="15.75" customHeight="1"/>
    <row r="107" s="89" customFormat="1" ht="15.75" customHeight="1"/>
    <row r="108" s="89" customFormat="1" ht="15.75" customHeight="1"/>
    <row r="109" s="89" customFormat="1" ht="15.75" customHeight="1"/>
    <row r="110" s="89" customFormat="1" ht="15.75" customHeight="1"/>
    <row r="111" s="89" customFormat="1" ht="15.75" customHeight="1"/>
    <row r="112" s="89" customFormat="1" ht="15.75" customHeight="1"/>
    <row r="113" s="89" customFormat="1" ht="15.75" customHeight="1"/>
    <row r="114" s="89" customFormat="1" ht="15.75" customHeight="1"/>
    <row r="115" s="89" customFormat="1" ht="15.75" customHeight="1"/>
    <row r="116" s="89" customFormat="1" ht="15.75" customHeight="1"/>
    <row r="117" s="89" customFormat="1" ht="15.75" customHeight="1"/>
    <row r="118" s="89" customFormat="1" ht="15.75" customHeight="1"/>
    <row r="119" s="89" customFormat="1" ht="15.75" customHeight="1"/>
    <row r="120" s="89" customFormat="1" ht="15.75" customHeight="1"/>
    <row r="121" s="89" customFormat="1" ht="15.75" customHeight="1"/>
    <row r="122" s="89" customFormat="1" ht="15.75" customHeight="1"/>
    <row r="123" s="89" customFormat="1" ht="15.75" customHeight="1"/>
    <row r="124" s="89" customFormat="1" ht="15.75" customHeight="1"/>
    <row r="125" s="89" customFormat="1" ht="15.75" customHeight="1"/>
    <row r="126" s="89" customFormat="1" ht="15.75" customHeight="1"/>
    <row r="127" s="89" customFormat="1" ht="15.75" customHeight="1"/>
    <row r="128" s="89" customFormat="1" ht="15.75" customHeight="1"/>
    <row r="129" s="89" customFormat="1" ht="15.75" customHeight="1"/>
    <row r="130" s="89" customFormat="1" ht="15.75" customHeight="1"/>
    <row r="131" s="89" customFormat="1" ht="15.75" customHeight="1"/>
    <row r="132" s="89" customFormat="1" ht="15.75" customHeight="1"/>
    <row r="133" s="89" customFormat="1" ht="15.75" customHeight="1"/>
    <row r="134" s="89" customFormat="1" ht="15.75" customHeight="1"/>
    <row r="135" s="89" customFormat="1" ht="15.75" customHeight="1"/>
    <row r="136" s="89" customFormat="1" ht="15.75" customHeight="1"/>
    <row r="137" s="89" customFormat="1" ht="15.75" customHeight="1"/>
    <row r="138" s="89" customFormat="1" ht="15.75" customHeight="1"/>
    <row r="139" s="89" customFormat="1" ht="15.75" customHeight="1"/>
    <row r="140" s="89" customFormat="1" ht="15.75" customHeight="1"/>
    <row r="141" s="89" customFormat="1" ht="15.75" customHeight="1"/>
    <row r="142" s="89" customFormat="1" ht="15.75" customHeight="1"/>
    <row r="143" s="89" customFormat="1" ht="15.75" customHeight="1"/>
    <row r="144" s="89" customFormat="1" ht="15.75" customHeight="1"/>
    <row r="145" s="89" customFormat="1" ht="15.75" customHeight="1"/>
    <row r="146" s="89" customFormat="1" ht="15.75" customHeight="1"/>
    <row r="147" s="89" customFormat="1" ht="15.75" customHeight="1"/>
    <row r="148" s="89" customFormat="1" ht="15.75" customHeight="1"/>
    <row r="149" s="89" customFormat="1" ht="15.75" customHeight="1"/>
    <row r="150" s="89" customFormat="1" ht="15.75" customHeight="1"/>
    <row r="151" s="89" customFormat="1" ht="15.75" customHeight="1"/>
    <row r="152" s="89" customFormat="1" ht="15.75" customHeight="1"/>
    <row r="153" s="89" customFormat="1" ht="15.75" customHeight="1"/>
    <row r="154" s="89" customFormat="1" ht="15.75" customHeight="1"/>
    <row r="155" s="89" customFormat="1" ht="15.75" customHeight="1"/>
    <row r="156" s="89" customFormat="1" ht="15.75" customHeight="1"/>
    <row r="157" s="89" customFormat="1" ht="15.75" customHeight="1"/>
    <row r="158" s="89" customFormat="1" ht="15.75" customHeight="1"/>
    <row r="159" s="89" customFormat="1" ht="15.75" customHeight="1"/>
    <row r="160" s="89" customFormat="1" ht="15.75" customHeight="1"/>
    <row r="161" s="89" customFormat="1" ht="15.75" customHeight="1"/>
    <row r="162" s="89" customFormat="1" ht="15.75" customHeight="1"/>
    <row r="163" s="89" customFormat="1" ht="15.75" customHeight="1"/>
    <row r="164" s="89" customFormat="1" ht="15.75" customHeight="1"/>
    <row r="165" s="89" customFormat="1" ht="15.75" customHeight="1"/>
    <row r="166" s="89" customFormat="1" ht="15.75" customHeight="1"/>
    <row r="167" s="89" customFormat="1" ht="15.75" customHeight="1"/>
    <row r="168" s="89" customFormat="1" ht="15.75" customHeight="1"/>
    <row r="169" s="89" customFormat="1" ht="15.75" customHeight="1"/>
    <row r="170" s="89" customFormat="1" ht="15.75" customHeight="1"/>
    <row r="171" s="89" customFormat="1" ht="15.75" customHeight="1"/>
    <row r="172" s="89" customFormat="1" ht="15.75" customHeight="1"/>
    <row r="173" s="89" customFormat="1" ht="15.75" customHeight="1"/>
    <row r="174" s="89" customFormat="1" ht="15.75" customHeight="1"/>
    <row r="175" s="89" customFormat="1" ht="15.75" customHeight="1"/>
    <row r="176" s="89" customFormat="1" ht="15.75" customHeight="1"/>
    <row r="177" s="89" customFormat="1" ht="15.75" customHeight="1"/>
    <row r="178" s="89" customFormat="1" ht="15.75" customHeight="1"/>
    <row r="179" s="89" customFormat="1" ht="15.75" customHeight="1"/>
    <row r="180" s="89" customFormat="1" ht="15.75" customHeight="1"/>
    <row r="181" s="89" customFormat="1" ht="15.75" customHeight="1"/>
    <row r="182" s="89" customFormat="1" ht="15.75" customHeight="1"/>
    <row r="183" s="89" customFormat="1" ht="15.75" customHeight="1"/>
    <row r="184" s="89" customFormat="1" ht="15.75" customHeight="1"/>
    <row r="185" s="89" customFormat="1" ht="15.75" customHeight="1"/>
    <row r="186" s="89" customFormat="1" ht="15.75" customHeight="1"/>
    <row r="187" s="89" customFormat="1" ht="15.75" customHeight="1"/>
    <row r="188" s="89" customFormat="1" ht="15.75" customHeight="1"/>
    <row r="189" s="89" customFormat="1" ht="15.75" customHeight="1"/>
    <row r="190" s="89" customFormat="1" ht="15.75" customHeight="1"/>
    <row r="191" s="89" customFormat="1" ht="15.75" customHeight="1"/>
    <row r="192" s="89" customFormat="1" ht="15.75" customHeight="1"/>
    <row r="193" s="89" customFormat="1" ht="15.75" customHeight="1"/>
    <row r="194" s="89" customFormat="1" ht="15.75" customHeight="1"/>
    <row r="195" s="89" customFormat="1" ht="15.75" customHeight="1"/>
    <row r="196" s="89" customFormat="1" ht="15.75" customHeight="1"/>
    <row r="197" s="89" customFormat="1" ht="15.75" customHeight="1"/>
    <row r="198" s="89" customFormat="1" ht="15.75" customHeight="1"/>
    <row r="199" s="89" customFormat="1" ht="15.75" customHeight="1"/>
    <row r="200" s="89" customFormat="1" ht="15.75" customHeight="1"/>
    <row r="201" s="89" customFormat="1" ht="15.75" customHeight="1"/>
    <row r="202" s="89" customFormat="1" ht="15.75" customHeight="1"/>
    <row r="203" s="89" customFormat="1" ht="15.75" customHeight="1"/>
    <row r="204" s="89" customFormat="1" ht="15.75" customHeight="1"/>
    <row r="205" s="89" customFormat="1" ht="15.75" customHeight="1"/>
    <row r="206" s="89" customFormat="1" ht="15.75" customHeight="1"/>
    <row r="207" s="89" customFormat="1" ht="15.75" customHeight="1"/>
    <row r="208" s="89" customFormat="1" ht="15.75" customHeight="1"/>
    <row r="209" s="89" customFormat="1" ht="15.75" customHeight="1"/>
    <row r="210" s="89" customFormat="1" ht="15.75" customHeight="1"/>
    <row r="211" s="89" customFormat="1" ht="15.75" customHeight="1"/>
    <row r="212" s="89" customFormat="1" ht="15.75" customHeight="1"/>
    <row r="213" s="89" customFormat="1" ht="15.75" customHeight="1"/>
    <row r="214" s="89" customFormat="1" ht="15.75" customHeight="1"/>
    <row r="215" s="89" customFormat="1" ht="15.75" customHeight="1"/>
    <row r="216" s="89" customFormat="1" ht="15.75" customHeight="1"/>
    <row r="217" s="89" customFormat="1" ht="15.75" customHeight="1"/>
    <row r="218" s="89" customFormat="1" ht="15.75" customHeight="1"/>
    <row r="219" s="89" customFormat="1" ht="15.75" customHeight="1"/>
    <row r="220" s="89" customFormat="1" ht="15.75" customHeight="1"/>
    <row r="221" s="89" customFormat="1" ht="15.75" customHeight="1"/>
    <row r="222" s="89" customFormat="1" ht="15.75" customHeight="1"/>
    <row r="223" s="89" customFormat="1" ht="15.75" customHeight="1"/>
    <row r="224" s="89" customFormat="1" ht="15.75" customHeight="1"/>
    <row r="225" s="89" customFormat="1" ht="15.75" customHeight="1"/>
    <row r="226" s="89" customFormat="1" ht="15.75" customHeight="1"/>
    <row r="227" s="89" customFormat="1" ht="15.75" customHeight="1"/>
    <row r="228" s="89" customFormat="1" ht="15.75" customHeight="1"/>
    <row r="229" s="89" customFormat="1" ht="15.75" customHeight="1"/>
    <row r="230" s="89" customFormat="1" ht="15.75" customHeight="1"/>
    <row r="231" s="89" customFormat="1" ht="15.75" customHeight="1"/>
    <row r="232" s="89" customFormat="1" ht="15.75" customHeight="1"/>
    <row r="233" s="89" customFormat="1" ht="15.75" customHeight="1"/>
    <row r="234" s="89" customFormat="1" ht="15.75" customHeight="1"/>
    <row r="235" s="89" customFormat="1" ht="15.75" customHeight="1"/>
    <row r="236" s="89" customFormat="1" ht="15.75" customHeight="1"/>
    <row r="237" s="89" customFormat="1" ht="15.75" customHeight="1"/>
    <row r="238" s="89" customFormat="1" ht="15.75" customHeight="1"/>
    <row r="239" s="89" customFormat="1" ht="15.75" customHeight="1"/>
    <row r="240" s="89" customFormat="1" ht="15.75" customHeight="1"/>
    <row r="241" s="89" customFormat="1" ht="15.7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2"/>
  <sheetViews>
    <sheetView workbookViewId="0">
      <selection activeCell="H38" sqref="H38"/>
    </sheetView>
  </sheetViews>
  <sheetFormatPr defaultColWidth="14.42578125" defaultRowHeight="15" customHeight="1"/>
  <cols>
    <col min="1" max="1" width="50.28515625" style="47" customWidth="1"/>
    <col min="2" max="3" width="12.28515625" style="89" hidden="1" customWidth="1"/>
    <col min="4" max="4" width="12.7109375" style="89" hidden="1" customWidth="1"/>
    <col min="5" max="6" width="11.140625" style="89" hidden="1" customWidth="1"/>
    <col min="7" max="7" width="8.7109375" style="47" hidden="1" customWidth="1"/>
    <col min="8" max="9" width="10.140625" style="47" bestFit="1" customWidth="1"/>
    <col min="10" max="10" width="12.7109375" style="47" bestFit="1" customWidth="1"/>
    <col min="11" max="12" width="11.28515625" style="47" bestFit="1" customWidth="1"/>
    <col min="13" max="16" width="8.7109375" style="47" customWidth="1"/>
    <col min="17" max="16384" width="14.42578125" style="47"/>
  </cols>
  <sheetData>
    <row r="1" spans="1:12">
      <c r="A1" s="80" t="s">
        <v>0</v>
      </c>
      <c r="B1" s="81">
        <v>2021</v>
      </c>
      <c r="C1" s="81">
        <v>2020</v>
      </c>
      <c r="D1" s="81">
        <v>2019</v>
      </c>
      <c r="E1" s="81">
        <v>2018</v>
      </c>
      <c r="F1" s="81">
        <v>2017</v>
      </c>
      <c r="H1" s="81">
        <v>2017</v>
      </c>
      <c r="I1" s="81">
        <v>2018</v>
      </c>
      <c r="J1" s="81">
        <v>2019</v>
      </c>
      <c r="K1" s="81">
        <v>2020</v>
      </c>
      <c r="L1" s="81">
        <v>2021</v>
      </c>
    </row>
    <row r="2" spans="1:12">
      <c r="A2" s="80"/>
      <c r="B2" s="82"/>
      <c r="C2" s="82"/>
      <c r="D2" s="82"/>
      <c r="E2" s="82"/>
      <c r="F2" s="82"/>
      <c r="H2" s="82"/>
      <c r="I2" s="82"/>
      <c r="J2" s="82"/>
      <c r="K2" s="82"/>
      <c r="L2" s="82"/>
    </row>
    <row r="3" spans="1:12">
      <c r="A3" s="80" t="s">
        <v>33</v>
      </c>
      <c r="B3" s="82" t="s">
        <v>34</v>
      </c>
      <c r="C3" s="82" t="s">
        <v>35</v>
      </c>
      <c r="D3" s="83">
        <v>71704373</v>
      </c>
      <c r="E3" s="84">
        <v>43669883</v>
      </c>
      <c r="F3" s="84">
        <v>36267220</v>
      </c>
      <c r="H3" s="84">
        <v>36267220</v>
      </c>
      <c r="I3" s="84">
        <v>43669883</v>
      </c>
      <c r="J3" s="83">
        <v>71704373</v>
      </c>
      <c r="K3" s="82" t="s">
        <v>35</v>
      </c>
      <c r="L3" s="82" t="s">
        <v>34</v>
      </c>
    </row>
    <row r="4" spans="1:12">
      <c r="A4" s="80" t="s">
        <v>36</v>
      </c>
      <c r="B4" s="84">
        <v>45139897</v>
      </c>
      <c r="C4" s="84">
        <v>48842539</v>
      </c>
      <c r="D4" s="85">
        <v>49567851</v>
      </c>
      <c r="E4" s="85">
        <v>25059925</v>
      </c>
      <c r="F4" s="84">
        <v>20071958</v>
      </c>
      <c r="H4" s="84">
        <v>20071958</v>
      </c>
      <c r="I4" s="85">
        <v>25059925</v>
      </c>
      <c r="J4" s="85">
        <v>49567851</v>
      </c>
      <c r="K4" s="84">
        <v>48842539</v>
      </c>
      <c r="L4" s="84">
        <v>45139897</v>
      </c>
    </row>
    <row r="5" spans="1:12">
      <c r="A5" s="80" t="s">
        <v>37</v>
      </c>
      <c r="B5" s="84">
        <v>32429546</v>
      </c>
      <c r="C5" s="84">
        <v>30275781</v>
      </c>
      <c r="D5" s="84">
        <v>22136522</v>
      </c>
      <c r="E5" s="84">
        <v>18609958</v>
      </c>
      <c r="F5" s="84">
        <v>16195262</v>
      </c>
      <c r="H5" s="84">
        <v>16195262</v>
      </c>
      <c r="I5" s="84">
        <v>18609958</v>
      </c>
      <c r="J5" s="84">
        <v>22136522</v>
      </c>
      <c r="K5" s="84">
        <v>30275781</v>
      </c>
      <c r="L5" s="84">
        <v>32429546</v>
      </c>
    </row>
    <row r="6" spans="1:12">
      <c r="A6" s="80" t="s">
        <v>38</v>
      </c>
      <c r="B6" s="82"/>
      <c r="C6" s="82"/>
      <c r="D6" s="82"/>
      <c r="E6" s="82"/>
      <c r="F6" s="82"/>
      <c r="H6" s="82"/>
      <c r="I6" s="82"/>
      <c r="J6" s="82"/>
      <c r="K6" s="82"/>
      <c r="L6" s="82"/>
    </row>
    <row r="7" spans="1:12">
      <c r="A7" s="80" t="s">
        <v>39</v>
      </c>
      <c r="B7" s="84">
        <v>4785268</v>
      </c>
      <c r="C7" s="84">
        <v>3991285</v>
      </c>
      <c r="D7" s="84">
        <v>3616428</v>
      </c>
      <c r="E7" s="84">
        <v>3116070</v>
      </c>
      <c r="F7" s="84">
        <v>2706794</v>
      </c>
      <c r="H7" s="84">
        <v>2706794</v>
      </c>
      <c r="I7" s="84">
        <v>3116070</v>
      </c>
      <c r="J7" s="84">
        <v>3616428</v>
      </c>
      <c r="K7" s="84">
        <v>3991285</v>
      </c>
      <c r="L7" s="84">
        <v>4785268</v>
      </c>
    </row>
    <row r="8" spans="1:12">
      <c r="A8" s="80" t="s">
        <v>40</v>
      </c>
      <c r="B8" s="85">
        <v>421964</v>
      </c>
      <c r="C8" s="85">
        <v>273524</v>
      </c>
      <c r="D8" s="84">
        <v>274440</v>
      </c>
      <c r="E8" s="84">
        <v>231312</v>
      </c>
      <c r="F8" s="84">
        <v>302894</v>
      </c>
      <c r="H8" s="84">
        <v>302894</v>
      </c>
      <c r="I8" s="84">
        <v>231312</v>
      </c>
      <c r="J8" s="84">
        <v>274440</v>
      </c>
      <c r="K8" s="85">
        <v>273524</v>
      </c>
      <c r="L8" s="85">
        <v>421964</v>
      </c>
    </row>
    <row r="9" spans="1:12">
      <c r="A9" s="80" t="s">
        <v>41</v>
      </c>
      <c r="B9" s="84">
        <v>3123524</v>
      </c>
      <c r="C9" s="84">
        <v>2673493</v>
      </c>
      <c r="D9" s="84">
        <v>2507707</v>
      </c>
      <c r="E9" s="84">
        <v>1596027</v>
      </c>
      <c r="F9" s="84">
        <v>843032</v>
      </c>
      <c r="H9" s="84">
        <v>843032</v>
      </c>
      <c r="I9" s="84">
        <v>1596027</v>
      </c>
      <c r="J9" s="84">
        <v>2507707</v>
      </c>
      <c r="K9" s="84">
        <v>2673493</v>
      </c>
      <c r="L9" s="84">
        <v>3123524</v>
      </c>
    </row>
    <row r="10" spans="1:12">
      <c r="A10" s="80" t="s">
        <v>42</v>
      </c>
      <c r="B10" s="82" t="s">
        <v>5</v>
      </c>
      <c r="C10" s="82" t="s">
        <v>5</v>
      </c>
      <c r="D10" s="82" t="s">
        <v>5</v>
      </c>
      <c r="E10" s="82" t="s">
        <v>5</v>
      </c>
      <c r="F10" s="82" t="s">
        <v>5</v>
      </c>
      <c r="H10" s="82" t="s">
        <v>5</v>
      </c>
      <c r="I10" s="82" t="s">
        <v>5</v>
      </c>
      <c r="J10" s="82" t="s">
        <v>5</v>
      </c>
      <c r="K10" s="82" t="s">
        <v>5</v>
      </c>
      <c r="L10" s="82" t="s">
        <v>5</v>
      </c>
    </row>
    <row r="11" spans="1:12">
      <c r="A11" s="80" t="s">
        <v>43</v>
      </c>
      <c r="B11" s="84">
        <v>814724</v>
      </c>
      <c r="C11" s="84">
        <v>2555400</v>
      </c>
      <c r="D11" s="84">
        <v>739351</v>
      </c>
      <c r="E11" s="84">
        <v>260103</v>
      </c>
      <c r="F11" s="84">
        <v>2063043</v>
      </c>
      <c r="H11" s="84">
        <v>2063043</v>
      </c>
      <c r="I11" s="84">
        <v>260103</v>
      </c>
      <c r="J11" s="84">
        <v>739351</v>
      </c>
      <c r="K11" s="84">
        <v>2555400</v>
      </c>
      <c r="L11" s="84">
        <v>814724</v>
      </c>
    </row>
    <row r="12" spans="1:12">
      <c r="A12" s="80" t="s">
        <v>44</v>
      </c>
      <c r="B12" s="84">
        <v>402118</v>
      </c>
      <c r="C12" s="84">
        <v>349438</v>
      </c>
      <c r="D12" s="84">
        <v>266102</v>
      </c>
      <c r="E12" s="84">
        <v>418081</v>
      </c>
      <c r="F12" s="84">
        <v>200341</v>
      </c>
      <c r="H12" s="84">
        <v>200341</v>
      </c>
      <c r="I12" s="84">
        <v>418081</v>
      </c>
      <c r="J12" s="84">
        <v>266102</v>
      </c>
      <c r="K12" s="84">
        <v>349438</v>
      </c>
      <c r="L12" s="84">
        <v>402118</v>
      </c>
    </row>
    <row r="13" spans="1:12">
      <c r="A13" s="80" t="s">
        <v>45</v>
      </c>
      <c r="B13" s="84">
        <v>9547598</v>
      </c>
      <c r="C13" s="84">
        <v>9843140</v>
      </c>
      <c r="D13" s="84">
        <v>7404028</v>
      </c>
      <c r="E13" s="84">
        <v>5621593</v>
      </c>
      <c r="F13" s="84">
        <v>6116104</v>
      </c>
      <c r="H13" s="84">
        <v>6116104</v>
      </c>
      <c r="I13" s="84">
        <v>5621593</v>
      </c>
      <c r="J13" s="84">
        <v>7404028</v>
      </c>
      <c r="K13" s="84">
        <v>9843140</v>
      </c>
      <c r="L13" s="84">
        <v>9547598</v>
      </c>
    </row>
    <row r="14" spans="1:12">
      <c r="A14" s="80" t="s">
        <v>46</v>
      </c>
      <c r="B14" s="84">
        <v>41977144</v>
      </c>
      <c r="C14" s="84">
        <v>40118921</v>
      </c>
      <c r="D14" s="84">
        <v>29540550</v>
      </c>
      <c r="E14" s="84">
        <v>24231551</v>
      </c>
      <c r="F14" s="84">
        <v>22311366</v>
      </c>
      <c r="H14" s="84">
        <v>22311366</v>
      </c>
      <c r="I14" s="84">
        <v>24231551</v>
      </c>
      <c r="J14" s="84">
        <v>29540550</v>
      </c>
      <c r="K14" s="84">
        <v>40118921</v>
      </c>
      <c r="L14" s="84">
        <v>41977144</v>
      </c>
    </row>
    <row r="15" spans="1:12">
      <c r="A15" s="80" t="s">
        <v>47</v>
      </c>
      <c r="B15" s="82"/>
      <c r="C15" s="82"/>
      <c r="D15" s="82"/>
      <c r="E15" s="82"/>
      <c r="F15" s="82"/>
      <c r="H15" s="82"/>
      <c r="I15" s="82"/>
      <c r="J15" s="82"/>
      <c r="K15" s="82"/>
      <c r="L15" s="82"/>
    </row>
    <row r="16" spans="1:12">
      <c r="A16" s="80" t="s">
        <v>48</v>
      </c>
      <c r="B16" s="84">
        <v>21017376</v>
      </c>
      <c r="C16" s="84">
        <v>20217974</v>
      </c>
      <c r="D16" s="84">
        <v>18235061</v>
      </c>
      <c r="E16" s="84">
        <v>16240514</v>
      </c>
      <c r="F16" s="84">
        <v>14948796</v>
      </c>
      <c r="H16" s="84">
        <v>14948796</v>
      </c>
      <c r="I16" s="84">
        <v>16240514</v>
      </c>
      <c r="J16" s="84">
        <v>18235061</v>
      </c>
      <c r="K16" s="84">
        <v>20217974</v>
      </c>
      <c r="L16" s="84">
        <v>21017376</v>
      </c>
    </row>
    <row r="17" spans="1:16">
      <c r="A17" s="80" t="s">
        <v>49</v>
      </c>
      <c r="B17" s="84">
        <v>213484</v>
      </c>
      <c r="C17" s="84">
        <v>42982</v>
      </c>
      <c r="D17" s="84">
        <v>42117</v>
      </c>
      <c r="E17" s="85">
        <v>-540060</v>
      </c>
      <c r="F17" s="84">
        <v>169833</v>
      </c>
      <c r="H17" s="84">
        <v>169833</v>
      </c>
      <c r="I17" s="85">
        <v>-540060</v>
      </c>
      <c r="J17" s="84">
        <v>42117</v>
      </c>
      <c r="K17" s="84">
        <v>42982</v>
      </c>
      <c r="L17" s="84">
        <v>213484</v>
      </c>
    </row>
    <row r="18" spans="1:16">
      <c r="A18" s="80" t="s">
        <v>50</v>
      </c>
      <c r="B18" s="85">
        <v>90139</v>
      </c>
      <c r="C18" s="85">
        <v>48149</v>
      </c>
      <c r="D18" s="85">
        <v>99947</v>
      </c>
      <c r="E18" s="85">
        <v>191067</v>
      </c>
      <c r="F18" s="85">
        <v>23568</v>
      </c>
      <c r="H18" s="85">
        <v>23568</v>
      </c>
      <c r="I18" s="85">
        <v>191067</v>
      </c>
      <c r="J18" s="85">
        <v>99947</v>
      </c>
      <c r="K18" s="85">
        <v>48149</v>
      </c>
      <c r="L18" s="85">
        <v>90139</v>
      </c>
      <c r="P18" s="86"/>
    </row>
    <row r="19" spans="1:16">
      <c r="B19" s="84">
        <v>21320999</v>
      </c>
      <c r="C19" s="84">
        <v>20309105</v>
      </c>
      <c r="D19" s="84">
        <v>18377125</v>
      </c>
      <c r="E19" s="84">
        <v>15891521</v>
      </c>
      <c r="F19" s="84">
        <v>15142197</v>
      </c>
      <c r="H19" s="84">
        <v>15142197</v>
      </c>
      <c r="I19" s="84">
        <v>15891521</v>
      </c>
      <c r="J19" s="84">
        <v>18377125</v>
      </c>
      <c r="K19" s="84">
        <v>20309105</v>
      </c>
      <c r="L19" s="84">
        <v>21320999</v>
      </c>
      <c r="P19" s="87"/>
    </row>
    <row r="20" spans="1:16">
      <c r="A20" s="80" t="s">
        <v>51</v>
      </c>
      <c r="B20" s="84">
        <v>20656145</v>
      </c>
      <c r="C20" s="84">
        <v>19809816</v>
      </c>
      <c r="D20" s="84">
        <v>11163425</v>
      </c>
      <c r="E20" s="84">
        <v>8340030</v>
      </c>
      <c r="F20" s="84">
        <v>7169169</v>
      </c>
      <c r="H20" s="84">
        <v>7169169</v>
      </c>
      <c r="I20" s="84">
        <v>8340030</v>
      </c>
      <c r="J20" s="84">
        <v>11163425</v>
      </c>
      <c r="K20" s="84">
        <v>19809816</v>
      </c>
      <c r="L20" s="84">
        <v>20656145</v>
      </c>
    </row>
    <row r="21" spans="1:16" ht="15.75" customHeight="1">
      <c r="A21" s="80" t="s">
        <v>52</v>
      </c>
      <c r="B21" s="84">
        <v>4983944</v>
      </c>
      <c r="C21" s="84">
        <v>1974747</v>
      </c>
      <c r="D21" s="85">
        <v>773275</v>
      </c>
      <c r="E21" s="85">
        <v>1460575</v>
      </c>
      <c r="F21" s="85">
        <v>-1176432</v>
      </c>
      <c r="H21" s="85">
        <v>-1176432</v>
      </c>
      <c r="I21" s="85">
        <v>1460575</v>
      </c>
      <c r="J21" s="85">
        <v>773275</v>
      </c>
      <c r="K21" s="84">
        <v>1974747</v>
      </c>
      <c r="L21" s="84">
        <v>4983944</v>
      </c>
    </row>
    <row r="22" spans="1:16" ht="15.75" customHeight="1">
      <c r="A22" s="80" t="s">
        <v>53</v>
      </c>
      <c r="B22" s="82" t="s">
        <v>5</v>
      </c>
      <c r="C22" s="82" t="s">
        <v>5</v>
      </c>
      <c r="D22" s="88" t="s">
        <v>5</v>
      </c>
      <c r="E22" s="88" t="s">
        <v>5</v>
      </c>
      <c r="F22" s="88" t="s">
        <v>5</v>
      </c>
      <c r="H22" s="88" t="s">
        <v>5</v>
      </c>
      <c r="I22" s="88" t="s">
        <v>5</v>
      </c>
      <c r="J22" s="88" t="s">
        <v>5</v>
      </c>
      <c r="K22" s="82" t="s">
        <v>5</v>
      </c>
      <c r="L22" s="82" t="s">
        <v>5</v>
      </c>
    </row>
    <row r="23" spans="1:16" ht="15.75" customHeight="1">
      <c r="A23" s="80" t="s">
        <v>54</v>
      </c>
      <c r="B23" s="84">
        <v>15672201</v>
      </c>
      <c r="C23" s="84">
        <v>17835069</v>
      </c>
      <c r="D23" s="84">
        <v>10390150</v>
      </c>
      <c r="E23" s="84">
        <v>6879455</v>
      </c>
      <c r="F23" s="84">
        <v>8345601</v>
      </c>
      <c r="H23" s="84">
        <v>8345601</v>
      </c>
      <c r="I23" s="84">
        <v>6879455</v>
      </c>
      <c r="J23" s="84">
        <v>10390150</v>
      </c>
      <c r="K23" s="84">
        <v>17835069</v>
      </c>
      <c r="L23" s="84">
        <v>15672201</v>
      </c>
    </row>
    <row r="24" spans="1:16" ht="15.75" customHeight="1">
      <c r="A24" s="80" t="s">
        <v>55</v>
      </c>
      <c r="B24" s="84">
        <v>-5956468</v>
      </c>
      <c r="C24" s="84">
        <v>-6978072</v>
      </c>
      <c r="D24" s="84">
        <v>3372249</v>
      </c>
      <c r="E24" s="84">
        <v>-2448177</v>
      </c>
      <c r="F24" s="84">
        <v>-3223915</v>
      </c>
      <c r="H24" s="84">
        <v>-3223915</v>
      </c>
      <c r="I24" s="84">
        <v>-2448177</v>
      </c>
      <c r="J24" s="84">
        <v>3372249</v>
      </c>
      <c r="K24" s="84">
        <v>-6978072</v>
      </c>
      <c r="L24" s="84">
        <v>-5956468</v>
      </c>
    </row>
    <row r="25" spans="1:16" ht="15.75" customHeight="1">
      <c r="A25" s="80" t="s">
        <v>56</v>
      </c>
      <c r="B25" s="84">
        <v>9715733</v>
      </c>
      <c r="C25" s="84">
        <v>10856997</v>
      </c>
      <c r="D25" s="84">
        <v>7017901</v>
      </c>
      <c r="E25" s="84">
        <v>4431278</v>
      </c>
      <c r="F25" s="84">
        <v>5121686</v>
      </c>
      <c r="H25" s="84">
        <v>5121686</v>
      </c>
      <c r="I25" s="84">
        <v>4431278</v>
      </c>
      <c r="J25" s="84">
        <v>7017901</v>
      </c>
      <c r="K25" s="84">
        <v>10856997</v>
      </c>
      <c r="L25" s="84">
        <v>9715733</v>
      </c>
    </row>
    <row r="26" spans="1:16" ht="15.75" customHeight="1">
      <c r="A26" s="80" t="s">
        <v>57</v>
      </c>
      <c r="B26" s="82"/>
      <c r="C26" s="82"/>
      <c r="D26" s="82">
        <v>14669</v>
      </c>
      <c r="E26" s="85">
        <v>-2659</v>
      </c>
      <c r="F26" s="85">
        <v>6611</v>
      </c>
      <c r="H26" s="85">
        <v>6611</v>
      </c>
      <c r="I26" s="85">
        <v>-2659</v>
      </c>
      <c r="J26" s="82">
        <v>14669</v>
      </c>
      <c r="K26" s="82"/>
      <c r="L26" s="82"/>
    </row>
    <row r="27" spans="1:16" ht="15.75" customHeight="1">
      <c r="A27" s="80" t="s">
        <v>58</v>
      </c>
      <c r="B27" s="82"/>
      <c r="C27" s="82"/>
      <c r="D27" s="82"/>
      <c r="E27" s="82"/>
      <c r="F27" s="82"/>
      <c r="H27" s="82"/>
      <c r="I27" s="82"/>
      <c r="J27" s="82"/>
      <c r="K27" s="82"/>
      <c r="L27" s="82"/>
    </row>
    <row r="28" spans="1:16" ht="15.75" customHeight="1">
      <c r="A28" s="80" t="s">
        <v>59</v>
      </c>
      <c r="B28" s="84">
        <v>9715733</v>
      </c>
      <c r="C28" s="84">
        <v>10846333</v>
      </c>
      <c r="D28" s="84">
        <v>7028756</v>
      </c>
      <c r="E28" s="84">
        <v>4429310</v>
      </c>
      <c r="F28" s="84">
        <v>5121863</v>
      </c>
      <c r="H28" s="84">
        <v>5121863</v>
      </c>
      <c r="I28" s="84">
        <v>4429310</v>
      </c>
      <c r="J28" s="84">
        <v>7028756</v>
      </c>
      <c r="K28" s="84">
        <v>10846333</v>
      </c>
      <c r="L28" s="84">
        <v>9715733</v>
      </c>
    </row>
    <row r="29" spans="1:16" ht="15.75" customHeight="1">
      <c r="A29" s="80" t="s">
        <v>32</v>
      </c>
      <c r="B29" s="82" t="s">
        <v>5</v>
      </c>
      <c r="C29" s="85">
        <v>10664</v>
      </c>
      <c r="D29" s="85">
        <v>3814</v>
      </c>
      <c r="E29" s="88">
        <v>-691</v>
      </c>
      <c r="F29" s="85">
        <v>6434</v>
      </c>
      <c r="H29" s="85">
        <v>6434</v>
      </c>
      <c r="I29" s="88">
        <v>-691</v>
      </c>
      <c r="J29" s="85">
        <v>3814</v>
      </c>
      <c r="K29" s="85">
        <v>10664</v>
      </c>
      <c r="L29" s="82" t="s">
        <v>5</v>
      </c>
    </row>
    <row r="30" spans="1:16" ht="15.75" customHeight="1">
      <c r="A30" s="80"/>
      <c r="B30" s="84">
        <v>9715733</v>
      </c>
      <c r="C30" s="84">
        <v>10856997</v>
      </c>
      <c r="D30" s="85">
        <f>SUM(D28:D29)</f>
        <v>7032570</v>
      </c>
      <c r="E30" s="85">
        <v>4428619</v>
      </c>
      <c r="F30" s="84">
        <v>5128297</v>
      </c>
      <c r="H30" s="84">
        <v>5128297</v>
      </c>
      <c r="I30" s="85">
        <v>4428619</v>
      </c>
      <c r="J30" s="85">
        <f>SUM(J28:J29)</f>
        <v>7032570</v>
      </c>
      <c r="K30" s="84">
        <v>10856997</v>
      </c>
      <c r="L30" s="84">
        <v>9715733</v>
      </c>
    </row>
    <row r="31" spans="1:16" ht="15.75" customHeight="1">
      <c r="A31" s="80"/>
      <c r="B31" s="82"/>
      <c r="C31" s="82"/>
      <c r="D31" s="82"/>
      <c r="E31" s="82"/>
      <c r="F31" s="82"/>
      <c r="H31" s="82"/>
      <c r="I31" s="82"/>
      <c r="J31" s="82"/>
      <c r="K31" s="82"/>
      <c r="L31" s="82"/>
    </row>
    <row r="32" spans="1:16" ht="15.75" customHeight="1">
      <c r="A32" s="80" t="s">
        <v>60</v>
      </c>
      <c r="B32" s="82">
        <v>7.71</v>
      </c>
      <c r="C32" s="88">
        <v>8.61</v>
      </c>
      <c r="D32" s="88">
        <v>5.58</v>
      </c>
      <c r="E32" s="82">
        <v>3.51</v>
      </c>
      <c r="F32" s="82">
        <v>4.0599999999999996</v>
      </c>
      <c r="H32" s="82">
        <v>4.0599999999999996</v>
      </c>
      <c r="I32" s="82">
        <v>3.51</v>
      </c>
      <c r="J32" s="88">
        <v>5.58</v>
      </c>
      <c r="K32" s="88">
        <v>8.61</v>
      </c>
      <c r="L32" s="82">
        <v>7.71</v>
      </c>
    </row>
    <row r="33" spans="2:6" ht="15.75" customHeight="1">
      <c r="B33" s="82"/>
      <c r="C33" s="82"/>
      <c r="D33" s="82"/>
      <c r="E33" s="82"/>
      <c r="F33" s="82"/>
    </row>
    <row r="34" spans="2:6" ht="15.75" customHeight="1"/>
    <row r="35" spans="2:6" ht="15.75" customHeight="1"/>
    <row r="36" spans="2:6" ht="15.75" customHeight="1"/>
    <row r="37" spans="2:6" ht="15.75" customHeight="1"/>
    <row r="38" spans="2:6" ht="15.75" customHeight="1"/>
    <row r="39" spans="2:6" ht="15.75" customHeight="1"/>
    <row r="40" spans="2:6" ht="15.75" customHeight="1"/>
    <row r="41" spans="2:6" ht="15.75" customHeight="1"/>
    <row r="42" spans="2:6" ht="15.75" customHeight="1"/>
    <row r="43" spans="2:6" ht="15.75" customHeight="1"/>
    <row r="44" spans="2:6" ht="15.75" customHeight="1"/>
    <row r="45" spans="2:6" ht="15.75" customHeight="1"/>
    <row r="46" spans="2:6" ht="15.75" customHeight="1"/>
    <row r="47" spans="2:6" ht="15.75" customHeight="1"/>
    <row r="48" spans="2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29"/>
  <sheetViews>
    <sheetView topLeftCell="A72" zoomScale="57" zoomScaleNormal="57" workbookViewId="0">
      <selection activeCell="I96" sqref="I96"/>
    </sheetView>
  </sheetViews>
  <sheetFormatPr defaultColWidth="14.42578125" defaultRowHeight="15" customHeight="1"/>
  <cols>
    <col min="1" max="1" width="20.7109375" customWidth="1"/>
    <col min="2" max="2" width="84.28515625" customWidth="1"/>
    <col min="3" max="7" width="32.7109375" hidden="1" customWidth="1"/>
    <col min="8" max="8" width="172.140625" bestFit="1" customWidth="1"/>
    <col min="9" max="12" width="19.7109375" bestFit="1" customWidth="1"/>
    <col min="13" max="13" width="22.7109375" bestFit="1" customWidth="1"/>
    <col min="14" max="19" width="14.42578125" customWidth="1"/>
    <col min="20" max="20" width="55" customWidth="1"/>
    <col min="21" max="21" width="4.85546875" customWidth="1"/>
    <col min="22" max="22" width="255.7109375" customWidth="1"/>
    <col min="23" max="25" width="14.42578125" customWidth="1"/>
    <col min="26" max="29" width="21" customWidth="1"/>
    <col min="30" max="30" width="22" customWidth="1"/>
  </cols>
  <sheetData>
    <row r="1" spans="2:30" ht="23.25" hidden="1">
      <c r="B1" s="2"/>
      <c r="C1" s="3">
        <v>2021</v>
      </c>
      <c r="D1" s="3">
        <v>2020</v>
      </c>
      <c r="E1" s="3">
        <v>2019</v>
      </c>
      <c r="F1" s="3">
        <v>2018</v>
      </c>
      <c r="G1" s="3">
        <v>2017</v>
      </c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2:30" ht="15" hidden="1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2:30" ht="15" hidden="1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2:30" ht="15" hidden="1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2:30" ht="15" hidden="1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2:30" ht="15" hidden="1" customHeight="1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2:30" ht="15" hidden="1" customHeight="1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2:30" ht="15" hidden="1" customHeight="1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2:30" ht="15" hidden="1" customHeight="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2:30" ht="15" hidden="1" customHeigh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2:30" ht="15" hidden="1" customHeight="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2:30" ht="23.25" hidden="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2:30" ht="23.25" hidden="1">
      <c r="B13" s="2" t="s">
        <v>61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2:30" ht="23.25" hidden="1">
      <c r="B14" s="2" t="s">
        <v>62</v>
      </c>
      <c r="C14" s="4">
        <v>477673022</v>
      </c>
      <c r="D14" s="4">
        <v>395416055</v>
      </c>
      <c r="E14" s="4">
        <v>372913863</v>
      </c>
      <c r="F14" s="5">
        <v>343107147</v>
      </c>
      <c r="G14" s="4">
        <v>258693086</v>
      </c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2:30" ht="23.25" hidden="1">
      <c r="B15" s="2" t="s">
        <v>6</v>
      </c>
      <c r="C15" s="4">
        <v>616231172</v>
      </c>
      <c r="D15" s="4">
        <v>449611987</v>
      </c>
      <c r="E15" s="4">
        <v>305435633</v>
      </c>
      <c r="F15" s="4">
        <v>260233987</v>
      </c>
      <c r="G15" s="4">
        <v>314956748</v>
      </c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2:30" ht="23.25" hidden="1">
      <c r="B16" s="2" t="s">
        <v>63</v>
      </c>
      <c r="C16" s="2">
        <v>0</v>
      </c>
      <c r="D16" s="2">
        <v>0</v>
      </c>
      <c r="E16" s="4">
        <v>20405972</v>
      </c>
      <c r="F16" s="2">
        <v>0</v>
      </c>
      <c r="G16" s="4">
        <v>2250000</v>
      </c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2:30" ht="23.25" hidden="1">
      <c r="B17" s="2" t="s">
        <v>64</v>
      </c>
      <c r="C17" s="4">
        <v>3556215</v>
      </c>
      <c r="D17" s="6">
        <v>8196147</v>
      </c>
      <c r="E17" s="4">
        <v>7886702</v>
      </c>
      <c r="F17" s="5">
        <v>4093402</v>
      </c>
      <c r="G17" s="4">
        <v>3193835</v>
      </c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2:30" ht="23.25" hidden="1">
      <c r="B18" s="7" t="s">
        <v>65</v>
      </c>
      <c r="C18" s="4">
        <f t="shared" ref="C18:G18" si="0">SUM(C14:C17)</f>
        <v>1097460409</v>
      </c>
      <c r="D18" s="4">
        <f t="shared" si="0"/>
        <v>853224189</v>
      </c>
      <c r="E18" s="4">
        <f t="shared" si="0"/>
        <v>706642170</v>
      </c>
      <c r="F18" s="4">
        <f t="shared" si="0"/>
        <v>607434536</v>
      </c>
      <c r="G18" s="4">
        <f t="shared" si="0"/>
        <v>579093669</v>
      </c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2:30" ht="15" hidden="1" customHeight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2:30" ht="23.25" hidden="1">
      <c r="B20" s="2" t="s">
        <v>66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2:30" ht="15.75" hidden="1" customHeight="1">
      <c r="B21" s="2" t="s">
        <v>67</v>
      </c>
      <c r="C21" s="4">
        <v>222888771</v>
      </c>
      <c r="D21" s="4">
        <v>539726821</v>
      </c>
      <c r="E21" s="4">
        <v>484456138</v>
      </c>
      <c r="F21" s="4">
        <v>404040078</v>
      </c>
      <c r="G21" s="4">
        <v>381975947</v>
      </c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2:30" ht="15.75" hidden="1" customHeight="1">
      <c r="B22" s="2" t="s">
        <v>68</v>
      </c>
      <c r="C22" s="4">
        <v>790982287</v>
      </c>
      <c r="D22" s="4">
        <v>1030588</v>
      </c>
      <c r="E22" s="4">
        <v>194254257</v>
      </c>
      <c r="F22" s="4">
        <v>168745407</v>
      </c>
      <c r="G22" s="4">
        <v>143678468</v>
      </c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2:30" ht="15.75" hidden="1" customHeight="1">
      <c r="B23" s="2" t="s">
        <v>68</v>
      </c>
      <c r="C23" s="4">
        <v>1291196</v>
      </c>
      <c r="D23" s="4">
        <v>250224878</v>
      </c>
      <c r="E23" s="4">
        <v>535917</v>
      </c>
      <c r="F23" s="4">
        <v>811441</v>
      </c>
      <c r="G23" s="4">
        <v>150636</v>
      </c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2:30" ht="15.75" hidden="1" customHeight="1">
      <c r="B24" s="2" t="s">
        <v>16</v>
      </c>
      <c r="C24" s="4">
        <v>123563761</v>
      </c>
      <c r="D24" s="5">
        <v>84163669</v>
      </c>
      <c r="E24" s="4">
        <v>51187681</v>
      </c>
      <c r="F24" s="5">
        <v>52702323</v>
      </c>
      <c r="G24" s="4">
        <v>71587311</v>
      </c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2:30" ht="15.75" hidden="1" customHeight="1">
      <c r="B25" s="2" t="s">
        <v>69</v>
      </c>
      <c r="C25" s="4">
        <v>12000000</v>
      </c>
      <c r="D25" s="5">
        <v>12000000</v>
      </c>
      <c r="E25" s="4">
        <v>9992000</v>
      </c>
      <c r="F25" s="4">
        <v>9993600</v>
      </c>
      <c r="G25" s="4">
        <v>4992800</v>
      </c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2:30" ht="15.75" hidden="1" customHeight="1">
      <c r="B26" s="2" t="s">
        <v>70</v>
      </c>
      <c r="C26" s="4">
        <v>7393878</v>
      </c>
      <c r="D26" s="5">
        <v>8223995</v>
      </c>
      <c r="E26" s="4">
        <v>970082</v>
      </c>
      <c r="F26" s="2">
        <v>0</v>
      </c>
      <c r="G26" s="2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2:30" ht="15.75" hidden="1" customHeight="1">
      <c r="B27" s="8" t="s">
        <v>71</v>
      </c>
      <c r="C27" s="4">
        <f t="shared" ref="C27:G27" si="1">SUM(C21:C26)</f>
        <v>1158119893</v>
      </c>
      <c r="D27" s="4">
        <f t="shared" si="1"/>
        <v>895369951</v>
      </c>
      <c r="E27" s="4">
        <f t="shared" si="1"/>
        <v>741396075</v>
      </c>
      <c r="F27" s="4">
        <f t="shared" si="1"/>
        <v>636292849</v>
      </c>
      <c r="G27" s="4">
        <f t="shared" si="1"/>
        <v>602385162</v>
      </c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2:30" ht="27" hidden="1" customHeight="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2:30" ht="15.75" hidden="1" customHeight="1">
      <c r="B29" s="2" t="s">
        <v>72</v>
      </c>
      <c r="C29" s="4">
        <f>'Income Statement'!B25</f>
        <v>9715733</v>
      </c>
      <c r="D29" s="4">
        <f>'Income Statement'!C25</f>
        <v>10856997</v>
      </c>
      <c r="E29" s="4">
        <f>'Income Statement'!D25</f>
        <v>7017901</v>
      </c>
      <c r="F29" s="4">
        <f>'Income Statement'!E25</f>
        <v>4431278</v>
      </c>
      <c r="G29" s="4">
        <f>'Income Statement'!F25</f>
        <v>5121686</v>
      </c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2:30" ht="27" hidden="1" customHeight="1">
      <c r="B30" s="2" t="s">
        <v>73</v>
      </c>
      <c r="C30" s="4">
        <f>'Balance Sheet'!B41</f>
        <v>56040863</v>
      </c>
      <c r="D30" s="4">
        <f>'Balance Sheet'!C41</f>
        <v>54681275</v>
      </c>
      <c r="E30" s="4">
        <f>'Balance Sheet'!D41</f>
        <v>42402183</v>
      </c>
      <c r="F30" s="4">
        <f>'Balance Sheet'!E41</f>
        <v>33600361</v>
      </c>
      <c r="G30" s="4">
        <f>'Balance Sheet'!F41</f>
        <v>32545236</v>
      </c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2:30" ht="27" hidden="1" customHeight="1">
      <c r="B31" s="2" t="s">
        <v>13</v>
      </c>
      <c r="C31" s="4">
        <f>'Balance Sheet'!B17</f>
        <v>1259328610</v>
      </c>
      <c r="D31" s="4">
        <f>'Balance Sheet'!C17</f>
        <v>992886661</v>
      </c>
      <c r="E31" s="4">
        <f>'Balance Sheet'!D17</f>
        <v>833443027</v>
      </c>
      <c r="F31" s="4">
        <f>'Balance Sheet'!E17</f>
        <v>706666079</v>
      </c>
      <c r="G31" s="4">
        <f>'Balance Sheet'!F17</f>
        <v>662938624</v>
      </c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2:30" ht="27" hidden="1" customHeight="1">
      <c r="B32" s="2" t="s">
        <v>74</v>
      </c>
      <c r="C32" s="4">
        <f>'Income Statement'!B5-'Income Statement'!B19</f>
        <v>11108547</v>
      </c>
      <c r="D32" s="4">
        <f>'Income Statement'!C5-'Income Statement'!C19</f>
        <v>9966676</v>
      </c>
      <c r="E32" s="4">
        <f>'Income Statement'!D5-'Income Statement'!D19</f>
        <v>3759397</v>
      </c>
      <c r="F32" s="4">
        <f>'Income Statement'!E5-'Income Statement'!E19</f>
        <v>2718437</v>
      </c>
      <c r="G32" s="4">
        <f>'Income Statement'!F5-'Income Statement'!F19</f>
        <v>1053065</v>
      </c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2:30" ht="27" hidden="1" customHeight="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2:30" ht="15.75" hidden="1" customHeight="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2:30" ht="15.75" hidden="1" customHeigh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2:30" ht="15.75" hidden="1" customHeight="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2:30" ht="15.75" hidden="1" customHeigh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2:30" ht="15.75" hidden="1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2:30" ht="15" hidden="1" customHeight="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2:30" ht="15.75" hidden="1" customHeight="1">
      <c r="B40" s="3" t="s">
        <v>75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2:30" ht="15.75" hidden="1" customHeight="1">
      <c r="B41" s="3" t="s">
        <v>46</v>
      </c>
      <c r="C41" s="4">
        <v>41977144</v>
      </c>
      <c r="D41" s="4">
        <v>40118921</v>
      </c>
      <c r="E41" s="4">
        <v>29540550</v>
      </c>
      <c r="F41" s="4">
        <v>24231551</v>
      </c>
      <c r="G41" s="4">
        <v>22311366</v>
      </c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3" t="s">
        <v>76</v>
      </c>
      <c r="U41" s="2"/>
      <c r="V41" s="2"/>
      <c r="W41" s="2"/>
      <c r="X41" s="2"/>
      <c r="Y41" s="2"/>
      <c r="Z41" s="2">
        <v>2021</v>
      </c>
      <c r="AA41" s="2">
        <v>2020</v>
      </c>
      <c r="AB41" s="2">
        <v>2019</v>
      </c>
      <c r="AC41" s="2">
        <v>2018</v>
      </c>
      <c r="AD41" s="2">
        <v>2017</v>
      </c>
    </row>
    <row r="42" spans="2:30" ht="15.75" hidden="1" customHeight="1">
      <c r="B42" s="3" t="s">
        <v>48</v>
      </c>
      <c r="C42" s="4">
        <v>21017376</v>
      </c>
      <c r="D42" s="4">
        <v>20217974</v>
      </c>
      <c r="E42" s="4">
        <v>18235061</v>
      </c>
      <c r="F42" s="4">
        <v>16240514</v>
      </c>
      <c r="G42" s="4">
        <v>14948796</v>
      </c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 t="s">
        <v>77</v>
      </c>
      <c r="U42" s="2">
        <v>13</v>
      </c>
      <c r="V42" s="9" t="s">
        <v>78</v>
      </c>
      <c r="W42" s="9"/>
      <c r="X42" s="9"/>
      <c r="Y42" s="2"/>
      <c r="Z42" s="2"/>
      <c r="AA42" s="2"/>
      <c r="AB42" s="2"/>
      <c r="AC42" s="2"/>
      <c r="AD42" s="2"/>
    </row>
    <row r="43" spans="2:30" ht="15.75" hidden="1" customHeight="1">
      <c r="B43" s="3" t="s">
        <v>13</v>
      </c>
      <c r="C43" s="4">
        <v>1259328610</v>
      </c>
      <c r="D43" s="4">
        <v>992886661</v>
      </c>
      <c r="E43" s="4">
        <v>833443027</v>
      </c>
      <c r="F43" s="4">
        <v>706666079</v>
      </c>
      <c r="G43" s="4">
        <v>662938624</v>
      </c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">
        <v>79</v>
      </c>
      <c r="U43" s="2">
        <v>14</v>
      </c>
      <c r="V43" s="2" t="s">
        <v>80</v>
      </c>
      <c r="W43" s="2"/>
      <c r="X43" s="9"/>
      <c r="Y43" s="2"/>
      <c r="Z43" s="2">
        <f>C25/C14</f>
        <v>2.5121787179347967E-2</v>
      </c>
      <c r="AA43" s="2">
        <f>D25/D14</f>
        <v>3.0347781402047521E-2</v>
      </c>
      <c r="AB43" s="2">
        <f>E25/E14</f>
        <v>2.6794391390056745E-2</v>
      </c>
      <c r="AC43" s="2">
        <f>F25/F14</f>
        <v>2.9126761384542073E-2</v>
      </c>
      <c r="AD43" s="2">
        <f>G25/G14</f>
        <v>1.9300090610075291E-2</v>
      </c>
    </row>
    <row r="44" spans="2:30" ht="15.75" hidden="1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 t="s">
        <v>79</v>
      </c>
      <c r="U44" s="2">
        <v>15</v>
      </c>
      <c r="V44" s="2" t="s">
        <v>81</v>
      </c>
      <c r="W44" s="2"/>
      <c r="X44" s="9"/>
      <c r="Y44" s="2"/>
      <c r="Z44" s="2"/>
      <c r="AA44" s="2"/>
      <c r="AB44" s="2"/>
      <c r="AC44" s="2"/>
      <c r="AD44" s="2"/>
    </row>
    <row r="45" spans="2:30" ht="15.75" hidden="1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 t="s">
        <v>79</v>
      </c>
      <c r="U45" s="2">
        <v>16</v>
      </c>
      <c r="V45" s="2" t="s">
        <v>82</v>
      </c>
      <c r="W45" s="2"/>
      <c r="X45" s="9"/>
      <c r="Y45" s="2"/>
      <c r="Z45" s="2"/>
      <c r="AA45" s="2"/>
      <c r="AB45" s="2"/>
      <c r="AC45" s="2"/>
      <c r="AD45" s="2"/>
    </row>
    <row r="46" spans="2:30" ht="15.75" hidden="1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 t="s">
        <v>79</v>
      </c>
      <c r="U46" s="2">
        <v>17</v>
      </c>
      <c r="V46" s="2" t="s">
        <v>83</v>
      </c>
      <c r="W46" s="2"/>
      <c r="X46" s="9"/>
      <c r="Y46" s="2"/>
      <c r="Z46" s="2">
        <f>'Income Statement'!B21/'Balance Sheet'!B41</f>
        <v>8.8934105101129507E-2</v>
      </c>
      <c r="AA46" s="2">
        <f>'Income Statement'!C21/'Balance Sheet'!C41</f>
        <v>3.6113770207443038E-2</v>
      </c>
      <c r="AB46" s="2">
        <f>'Income Statement'!D21/'Balance Sheet'!D41</f>
        <v>1.8236678993626344E-2</v>
      </c>
      <c r="AC46" s="2">
        <f>'Income Statement'!E21/'Balance Sheet'!E41</f>
        <v>4.3469027014322849E-2</v>
      </c>
      <c r="AD46" s="2">
        <f>'Income Statement'!F21/'Balance Sheet'!F41</f>
        <v>-3.614759468943473E-2</v>
      </c>
    </row>
    <row r="47" spans="2:30" ht="15.75" hidden="1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">
        <v>79</v>
      </c>
      <c r="U47" s="2">
        <v>18</v>
      </c>
      <c r="V47" s="2" t="s">
        <v>84</v>
      </c>
      <c r="W47" s="2"/>
      <c r="X47" s="9"/>
      <c r="Y47" s="2"/>
      <c r="Z47" s="2">
        <f>'Income Statement'!B21/C14</f>
        <v>1.0433798373482352E-2</v>
      </c>
      <c r="AA47" s="2">
        <f>'Income Statement'!C21/D14</f>
        <v>4.994099190029095E-3</v>
      </c>
      <c r="AB47" s="2">
        <f>'Income Statement'!D21/E14</f>
        <v>2.0736021819601808E-3</v>
      </c>
      <c r="AC47" s="2">
        <f>'Income Statement'!E21/F14</f>
        <v>4.2569063710001936E-3</v>
      </c>
      <c r="AD47" s="2">
        <f>'Income Statement'!F21/G14</f>
        <v>-4.5475973795449636E-3</v>
      </c>
    </row>
    <row r="48" spans="2:30" ht="15.75" hidden="1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>
        <v>2021</v>
      </c>
      <c r="AA48" s="2">
        <v>2020</v>
      </c>
      <c r="AB48" s="2">
        <v>2019</v>
      </c>
      <c r="AC48" s="2">
        <v>2018</v>
      </c>
      <c r="AD48" s="2">
        <v>2017</v>
      </c>
    </row>
    <row r="49" spans="2:30" ht="15.75" hidden="1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 t="s">
        <v>85</v>
      </c>
      <c r="W49" s="2"/>
      <c r="X49" s="2"/>
      <c r="Y49" s="2"/>
      <c r="Z49" s="2">
        <f>'Income Statement'!B25/'Income Statement'!B23</f>
        <v>0.61993417516786575</v>
      </c>
      <c r="AA49" s="2">
        <f>'Income Statement'!C25/'Income Statement'!C23</f>
        <v>0.60874432277217427</v>
      </c>
      <c r="AB49" s="2">
        <f>'Income Statement'!D25/'Income Statement'!D23</f>
        <v>0.67543789069455207</v>
      </c>
      <c r="AC49" s="2">
        <f>'Income Statement'!E25/'Income Statement'!E23</f>
        <v>0.64413212965271227</v>
      </c>
      <c r="AD49" s="2">
        <f>'Income Statement'!F25/'Income Statement'!F23</f>
        <v>0.61369888160241548</v>
      </c>
    </row>
    <row r="50" spans="2:30" ht="15.75" hidden="1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10" t="s">
        <v>86</v>
      </c>
      <c r="W50" s="2"/>
      <c r="X50" s="2"/>
      <c r="Y50" s="2"/>
      <c r="Z50" s="2"/>
      <c r="AA50" s="2"/>
      <c r="AB50" s="2"/>
      <c r="AC50" s="2"/>
      <c r="AD50" s="2"/>
    </row>
    <row r="51" spans="2:30" ht="15.75" hidden="1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11" t="s">
        <v>87</v>
      </c>
      <c r="W51" s="2"/>
      <c r="X51" s="2"/>
      <c r="Y51" s="2"/>
      <c r="Z51" s="2">
        <f>C32/C31</f>
        <v>8.8210074096545781E-3</v>
      </c>
      <c r="AA51" s="2">
        <f>D32/D31</f>
        <v>1.003808026785446E-2</v>
      </c>
      <c r="AB51" s="2">
        <f>E32/E31</f>
        <v>4.510682648017403E-3</v>
      </c>
      <c r="AC51" s="2">
        <f>F32/F31</f>
        <v>3.8468480103740765E-3</v>
      </c>
      <c r="AD51" s="2">
        <f>G32/G31</f>
        <v>1.5884803839699042E-3</v>
      </c>
    </row>
    <row r="52" spans="2:30" ht="15.75" hidden="1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11" t="s">
        <v>88</v>
      </c>
      <c r="W52" s="2"/>
      <c r="X52" s="2"/>
      <c r="Y52" s="2"/>
      <c r="Z52" s="2">
        <f>'Balance Sheet'!B17/'Balance Sheet'!B41</f>
        <v>22.471613436788079</v>
      </c>
      <c r="AA52" s="2">
        <f>'Balance Sheet'!C17/'Balance Sheet'!C41</f>
        <v>18.157708667180859</v>
      </c>
      <c r="AB52" s="2">
        <f>'Balance Sheet'!D17/'Balance Sheet'!D41</f>
        <v>19.655663176586923</v>
      </c>
      <c r="AC52" s="2">
        <f>'Balance Sheet'!E17/'Balance Sheet'!E41</f>
        <v>21.031502578201465</v>
      </c>
      <c r="AD52" s="2">
        <f>'Balance Sheet'!F17/'Balance Sheet'!F41</f>
        <v>20.369759309780392</v>
      </c>
    </row>
    <row r="53" spans="2:30" ht="15.75" hidden="1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>
        <f t="shared" ref="Z53:AD53" si="2">Z49*Z50*Z51*Z52</f>
        <v>0</v>
      </c>
      <c r="AA53" s="2">
        <f t="shared" si="2"/>
        <v>0</v>
      </c>
      <c r="AB53" s="2">
        <f t="shared" si="2"/>
        <v>0</v>
      </c>
      <c r="AC53" s="2">
        <f t="shared" si="2"/>
        <v>0</v>
      </c>
      <c r="AD53" s="2">
        <f t="shared" si="2"/>
        <v>0</v>
      </c>
    </row>
    <row r="54" spans="2:30" ht="15" hidden="1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2:30" ht="15" hidden="1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2:30" ht="15.75" hidden="1" customHeight="1">
      <c r="B56" s="3" t="s">
        <v>89</v>
      </c>
      <c r="C56" s="3">
        <v>2021</v>
      </c>
      <c r="D56" s="3">
        <v>2020</v>
      </c>
      <c r="E56" s="3">
        <v>2019</v>
      </c>
      <c r="F56" s="3">
        <v>2018</v>
      </c>
      <c r="G56" s="3">
        <v>2017</v>
      </c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2:30" ht="15.75" hidden="1" customHeight="1">
      <c r="B57" s="12" t="s">
        <v>90</v>
      </c>
      <c r="C57" s="12"/>
      <c r="D57" s="12"/>
      <c r="E57" s="12"/>
      <c r="F57" s="12"/>
      <c r="G57" s="12"/>
      <c r="H57" s="1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2:30" ht="15.75" hidden="1" customHeight="1">
      <c r="B58" s="12" t="s">
        <v>91</v>
      </c>
      <c r="C58" s="12">
        <f t="shared" ref="C58:G58" si="3">(C61*C60)/(C60*C59)</f>
        <v>2.0145322434150774</v>
      </c>
      <c r="D58" s="12">
        <f t="shared" si="3"/>
        <v>1.8503634031637453</v>
      </c>
      <c r="E58" s="12">
        <f t="shared" si="3"/>
        <v>1.8085221143473571</v>
      </c>
      <c r="F58" s="12">
        <f t="shared" si="3"/>
        <v>1.1116220735785953</v>
      </c>
      <c r="G58" s="12">
        <f t="shared" si="3"/>
        <v>1.332988089073019</v>
      </c>
      <c r="H58" s="1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2:30" ht="15.75" hidden="1" customHeight="1">
      <c r="B59" s="13" t="s">
        <v>92</v>
      </c>
      <c r="C59" s="13">
        <v>22.02</v>
      </c>
      <c r="D59" s="13">
        <v>23.39</v>
      </c>
      <c r="E59" s="13">
        <v>18.54</v>
      </c>
      <c r="F59" s="13">
        <v>23.92</v>
      </c>
      <c r="G59" s="13">
        <v>19.309999999999999</v>
      </c>
      <c r="H59" s="1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2:30" ht="15.75" hidden="1" customHeight="1">
      <c r="B60" s="13" t="s">
        <v>93</v>
      </c>
      <c r="C60" s="14">
        <v>1260260180</v>
      </c>
      <c r="D60" s="14">
        <v>1260260180</v>
      </c>
      <c r="E60" s="14">
        <v>1260260180</v>
      </c>
      <c r="F60" s="14">
        <v>1260260180</v>
      </c>
      <c r="G60" s="14">
        <v>1260260180</v>
      </c>
      <c r="H60" s="1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2:30" ht="15.75" hidden="1" customHeight="1">
      <c r="B61" s="13" t="s">
        <v>94</v>
      </c>
      <c r="C61" s="15">
        <v>44.36</v>
      </c>
      <c r="D61" s="15">
        <v>43.28</v>
      </c>
      <c r="E61" s="15">
        <v>33.53</v>
      </c>
      <c r="F61" s="15">
        <v>26.59</v>
      </c>
      <c r="G61" s="15">
        <v>25.74</v>
      </c>
      <c r="H61" s="1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2:30" ht="15.75" hidden="1" customHeight="1">
      <c r="B62" s="12" t="s">
        <v>95</v>
      </c>
      <c r="C62" s="12"/>
      <c r="D62" s="12"/>
      <c r="E62" s="12"/>
      <c r="F62" s="12"/>
      <c r="G62" s="12"/>
      <c r="H62" s="1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2:30" ht="15.75" hidden="1" customHeight="1">
      <c r="B63" s="12" t="s">
        <v>96</v>
      </c>
      <c r="C63" s="12">
        <f t="shared" ref="C63:G63" si="4">C64/C65</f>
        <v>1.3176955341044831</v>
      </c>
      <c r="D63" s="12">
        <f t="shared" si="4"/>
        <v>1.0580940899831748</v>
      </c>
      <c r="E63" s="12">
        <f t="shared" si="4"/>
        <v>1.0312515352074776</v>
      </c>
      <c r="F63" s="12">
        <f t="shared" si="4"/>
        <v>1.0721448468924104</v>
      </c>
      <c r="G63" s="12">
        <f t="shared" si="4"/>
        <v>1.0173813192532266</v>
      </c>
      <c r="H63" s="1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2:30" ht="15.75" hidden="1" customHeight="1">
      <c r="B64" s="13" t="s">
        <v>97</v>
      </c>
      <c r="C64" s="14">
        <v>1222420697</v>
      </c>
      <c r="D64" s="14">
        <v>956675071</v>
      </c>
      <c r="E64" s="14">
        <v>786642860</v>
      </c>
      <c r="F64" s="14">
        <v>667452221</v>
      </c>
      <c r="G64" s="14">
        <v>633359777</v>
      </c>
      <c r="H64" s="1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2:30" ht="15.75" hidden="1" customHeight="1">
      <c r="B65" s="13" t="s">
        <v>98</v>
      </c>
      <c r="C65" s="14">
        <v>927695864</v>
      </c>
      <c r="D65" s="14">
        <v>904149338</v>
      </c>
      <c r="E65" s="14">
        <v>762804062</v>
      </c>
      <c r="F65" s="14">
        <v>622539224</v>
      </c>
      <c r="G65" s="14">
        <v>622539224</v>
      </c>
      <c r="H65" s="1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2:30" ht="15.75" hidden="1" customHeight="1">
      <c r="B66" s="12" t="s">
        <v>99</v>
      </c>
      <c r="C66" s="12">
        <f t="shared" ref="C66:G66" si="5">C67/C68</f>
        <v>0.60150352363038317</v>
      </c>
      <c r="D66" s="12">
        <f t="shared" si="5"/>
        <v>0.95457933838650033</v>
      </c>
      <c r="E66" s="12">
        <f t="shared" si="5"/>
        <v>0.57388256878498511</v>
      </c>
      <c r="F66" s="12">
        <f t="shared" si="5"/>
        <v>0.54748613552497316</v>
      </c>
      <c r="G66" s="12">
        <f t="shared" si="5"/>
        <v>0.54793223807334746</v>
      </c>
      <c r="H66" s="12"/>
      <c r="I66" s="2" t="s">
        <v>100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2:30" ht="15.75" hidden="1" customHeight="1">
      <c r="B67" s="13" t="s">
        <v>101</v>
      </c>
      <c r="C67" s="14">
        <f>C68-404645277000</f>
        <v>610784723000</v>
      </c>
      <c r="D67" s="14">
        <f>D68-35936237000</f>
        <v>755250763000</v>
      </c>
      <c r="E67" s="14">
        <f>E68-289461352000</f>
        <v>389838134000</v>
      </c>
      <c r="F67" s="14">
        <f>F68- 259578178000</f>
        <v>314057678000</v>
      </c>
      <c r="G67" s="14">
        <f>G68-237700985000</f>
        <v>288107323000</v>
      </c>
      <c r="H67" s="1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2:30" ht="15.75" hidden="1" customHeight="1">
      <c r="B68" s="13" t="s">
        <v>102</v>
      </c>
      <c r="C68" s="14">
        <v>1015430000000</v>
      </c>
      <c r="D68" s="14">
        <v>791187000000</v>
      </c>
      <c r="E68" s="14">
        <v>679299486000</v>
      </c>
      <c r="F68" s="14">
        <v>573635856000</v>
      </c>
      <c r="G68" s="14">
        <v>525808308000</v>
      </c>
      <c r="H68" s="1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2:30" ht="15.75" hidden="1" customHeight="1">
      <c r="B69" s="12" t="s">
        <v>103</v>
      </c>
      <c r="C69" s="12">
        <f t="shared" ref="C69:G69" si="6">C70/C71</f>
        <v>2.8597402597402595</v>
      </c>
      <c r="D69" s="12">
        <f t="shared" si="6"/>
        <v>2.7292882147024504</v>
      </c>
      <c r="E69" s="12">
        <f t="shared" si="6"/>
        <v>3.328545780969479</v>
      </c>
      <c r="F69" s="12">
        <f t="shared" si="6"/>
        <v>6.7954545454545459</v>
      </c>
      <c r="G69" s="12">
        <f t="shared" si="6"/>
        <v>4.6196172248803826</v>
      </c>
      <c r="H69" s="1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2:30" ht="15.75" hidden="1" customHeight="1">
      <c r="B70" s="13" t="s">
        <v>104</v>
      </c>
      <c r="C70" s="13">
        <v>22.02</v>
      </c>
      <c r="D70" s="13">
        <v>23.39</v>
      </c>
      <c r="E70" s="13">
        <v>18.54</v>
      </c>
      <c r="F70" s="13">
        <v>23.92</v>
      </c>
      <c r="G70" s="13">
        <v>19.309999999999999</v>
      </c>
      <c r="H70" s="1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2:30" ht="15.75" hidden="1" customHeight="1">
      <c r="B71" s="13" t="s">
        <v>105</v>
      </c>
      <c r="C71" s="13">
        <v>7.7</v>
      </c>
      <c r="D71" s="13">
        <v>8.57</v>
      </c>
      <c r="E71" s="13">
        <v>5.57</v>
      </c>
      <c r="F71" s="13">
        <v>3.52</v>
      </c>
      <c r="G71" s="13">
        <v>4.18</v>
      </c>
      <c r="H71" s="1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2:30" ht="36">
      <c r="B72" s="39" t="s">
        <v>106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2:30" ht="23.25">
      <c r="B73" s="16"/>
      <c r="C73" s="17">
        <v>2021</v>
      </c>
      <c r="D73" s="17">
        <v>2020</v>
      </c>
      <c r="E73" s="17">
        <v>2019</v>
      </c>
      <c r="F73" s="17">
        <v>2018</v>
      </c>
      <c r="G73" s="18">
        <v>2017</v>
      </c>
      <c r="H73" s="55" t="s">
        <v>164</v>
      </c>
      <c r="I73" s="17">
        <v>2017</v>
      </c>
      <c r="J73" s="17">
        <v>2018</v>
      </c>
      <c r="K73" s="17">
        <v>2019</v>
      </c>
      <c r="L73" s="17">
        <v>2020</v>
      </c>
      <c r="M73" s="18">
        <v>2021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2:30" ht="23.25">
      <c r="B74" s="63" t="s">
        <v>107</v>
      </c>
      <c r="C74" s="64">
        <f t="shared" ref="C74:G74" si="7">C29/C30</f>
        <v>0.17336872560295868</v>
      </c>
      <c r="D74" s="64">
        <f t="shared" si="7"/>
        <v>0.19855054586784965</v>
      </c>
      <c r="E74" s="64">
        <f t="shared" si="7"/>
        <v>0.16550801169835996</v>
      </c>
      <c r="F74" s="64">
        <f t="shared" si="7"/>
        <v>0.13188185686457357</v>
      </c>
      <c r="G74" s="65">
        <f t="shared" si="7"/>
        <v>0.15737129698491048</v>
      </c>
      <c r="H74" s="66" t="s">
        <v>165</v>
      </c>
      <c r="I74" s="64">
        <v>0.15737129698491048</v>
      </c>
      <c r="J74" s="64">
        <v>0.13188185686457357</v>
      </c>
      <c r="K74" s="64">
        <v>0.16550801169835996</v>
      </c>
      <c r="L74" s="64">
        <v>0.19855054586784965</v>
      </c>
      <c r="M74" s="65">
        <v>0.17336872560295868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2:30" ht="23.25">
      <c r="B75" s="19" t="s">
        <v>108</v>
      </c>
      <c r="C75" s="20">
        <f t="shared" ref="C75:G75" si="8">C29/C31</f>
        <v>7.7150101433810826E-3</v>
      </c>
      <c r="D75" s="20">
        <f t="shared" si="8"/>
        <v>1.0934779795576284E-2</v>
      </c>
      <c r="E75" s="20">
        <f t="shared" si="8"/>
        <v>8.420372806118636E-3</v>
      </c>
      <c r="F75" s="20">
        <f t="shared" si="8"/>
        <v>6.2706816298168455E-3</v>
      </c>
      <c r="G75" s="21">
        <f t="shared" si="8"/>
        <v>7.7257317865974872E-3</v>
      </c>
      <c r="H75" s="54" t="s">
        <v>166</v>
      </c>
      <c r="I75" s="27">
        <v>7.7257317865974872E-3</v>
      </c>
      <c r="J75" s="27">
        <v>6.2706816298168455E-3</v>
      </c>
      <c r="K75" s="27">
        <v>8.420372806118636E-3</v>
      </c>
      <c r="L75" s="27">
        <v>1.0934779795576284E-2</v>
      </c>
      <c r="M75" s="21">
        <v>7.7150101433810826E-3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2:30" ht="23.25">
      <c r="B76" s="19" t="s">
        <v>109</v>
      </c>
      <c r="C76" s="20">
        <f t="shared" ref="C76:G76" si="9">C32/C31</f>
        <v>8.8210074096545781E-3</v>
      </c>
      <c r="D76" s="20">
        <f t="shared" si="9"/>
        <v>1.003808026785446E-2</v>
      </c>
      <c r="E76" s="20">
        <f t="shared" si="9"/>
        <v>4.510682648017403E-3</v>
      </c>
      <c r="F76" s="20">
        <f t="shared" si="9"/>
        <v>3.8468480103740765E-3</v>
      </c>
      <c r="G76" s="21">
        <f t="shared" si="9"/>
        <v>1.5884803839699042E-3</v>
      </c>
      <c r="H76" s="56" t="s">
        <v>167</v>
      </c>
      <c r="I76" s="27">
        <v>1.5884803839699042E-3</v>
      </c>
      <c r="J76" s="27">
        <v>3.8468480103740765E-3</v>
      </c>
      <c r="K76" s="27">
        <v>4.510682648017403E-3</v>
      </c>
      <c r="L76" s="27">
        <v>1.003808026785446E-2</v>
      </c>
      <c r="M76" s="21">
        <v>8.8210074096545781E-3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2:30" ht="23.25">
      <c r="B77" s="19" t="s">
        <v>110</v>
      </c>
      <c r="C77" s="20">
        <f>('Income Statement'!B13-'Income Statement'!B21-'Income Statement'!B18)/'Balance Sheet'!B17</f>
        <v>3.5523015712316738E-3</v>
      </c>
      <c r="D77" s="20">
        <f>('Income Statement'!C13-'Income Statement'!C21-'Income Statement'!C18)/'Balance Sheet'!C17</f>
        <v>7.8762705827105477E-3</v>
      </c>
      <c r="E77" s="20">
        <f>('Income Statement'!D13-'Income Statement'!D21-'Income Statement'!D18)/'Balance Sheet'!D17</f>
        <v>7.8359357369726969E-3</v>
      </c>
      <c r="F77" s="20">
        <f>('Income Statement'!E13-'Income Statement'!E21-'Income Statement'!E18)/'Balance Sheet'!E17</f>
        <v>5.6178598605127047E-3</v>
      </c>
      <c r="G77" s="21">
        <f>('Income Statement'!F13-'Income Statement'!F21-'Income Statement'!F18)/'Balance Sheet'!F17</f>
        <v>1.0964767682626378E-2</v>
      </c>
      <c r="H77" s="56" t="s">
        <v>168</v>
      </c>
      <c r="I77" s="27">
        <v>1.0964767682626378E-2</v>
      </c>
      <c r="J77" s="27">
        <v>5.6178598605127047E-3</v>
      </c>
      <c r="K77" s="27">
        <v>7.8359357369726969E-3</v>
      </c>
      <c r="L77" s="27">
        <v>7.8762705827105477E-3</v>
      </c>
      <c r="M77" s="21">
        <v>3.5523015712316738E-3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2:30" ht="23.25">
      <c r="B78" s="19" t="s">
        <v>111</v>
      </c>
      <c r="C78" s="20">
        <f t="shared" ref="C78:G78" si="10">(C41-C42)/C43</f>
        <v>1.6643605039672688E-2</v>
      </c>
      <c r="D78" s="20">
        <f t="shared" si="10"/>
        <v>2.0043523376531695E-2</v>
      </c>
      <c r="E78" s="20">
        <f t="shared" si="10"/>
        <v>1.3564801232658222E-2</v>
      </c>
      <c r="F78" s="20">
        <f t="shared" si="10"/>
        <v>1.1308080630257619E-2</v>
      </c>
      <c r="G78" s="21">
        <f t="shared" si="10"/>
        <v>1.1105960240446029E-2</v>
      </c>
      <c r="H78" s="56" t="s">
        <v>169</v>
      </c>
      <c r="I78" s="27">
        <v>1.1105960240446029E-2</v>
      </c>
      <c r="J78" s="27">
        <v>1.1308080630257619E-2</v>
      </c>
      <c r="K78" s="27">
        <v>1.3564801232658222E-2</v>
      </c>
      <c r="L78" s="27">
        <v>2.0043523376531695E-2</v>
      </c>
      <c r="M78" s="21">
        <v>1.6643605039672688E-2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2:30" ht="23.25">
      <c r="B79" s="19" t="s">
        <v>112</v>
      </c>
      <c r="C79" s="22">
        <v>7.71</v>
      </c>
      <c r="D79" s="22">
        <v>8.61</v>
      </c>
      <c r="E79" s="22">
        <v>5.58</v>
      </c>
      <c r="F79" s="22">
        <v>3.51</v>
      </c>
      <c r="G79" s="22">
        <v>4.0599999999999996</v>
      </c>
      <c r="H79" s="56" t="s">
        <v>179</v>
      </c>
      <c r="I79" s="22">
        <v>4.0599999999999996</v>
      </c>
      <c r="J79" s="22">
        <v>3.51</v>
      </c>
      <c r="K79" s="22">
        <v>5.58</v>
      </c>
      <c r="L79" s="22">
        <v>8.61</v>
      </c>
      <c r="M79" s="22">
        <v>7.71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2:30" ht="23.25">
      <c r="B80" s="95" t="s">
        <v>113</v>
      </c>
      <c r="C80" s="96">
        <f t="shared" ref="C80:G80" si="11">(C81/C82)-(C83/C84)</f>
        <v>1.1139617080179309E-2</v>
      </c>
      <c r="D80" s="96">
        <f t="shared" si="11"/>
        <v>1.2801607777504293E-2</v>
      </c>
      <c r="E80" s="96">
        <f t="shared" si="11"/>
        <v>6.5391634196390672E-3</v>
      </c>
      <c r="F80" s="96">
        <f t="shared" si="11"/>
        <v>5.6618088379456095E-3</v>
      </c>
      <c r="G80" s="97">
        <f t="shared" si="11"/>
        <v>2.8294988179066068E-3</v>
      </c>
      <c r="H80" s="98" t="s">
        <v>180</v>
      </c>
      <c r="I80" s="96">
        <v>2.8294988179066068E-3</v>
      </c>
      <c r="J80" s="96">
        <v>5.6618088379456095E-3</v>
      </c>
      <c r="K80" s="96">
        <v>6.5391634196390672E-3</v>
      </c>
      <c r="L80" s="96">
        <v>1.2801607777504293E-2</v>
      </c>
      <c r="M80" s="97">
        <v>1.1139617080179309E-2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.25">
      <c r="B81" s="99" t="s">
        <v>114</v>
      </c>
      <c r="C81" s="100">
        <f>'Income Statement'!B5</f>
        <v>32429546</v>
      </c>
      <c r="D81" s="100">
        <f>'Income Statement'!C5</f>
        <v>30275781</v>
      </c>
      <c r="E81" s="100">
        <f>'Income Statement'!D5</f>
        <v>22136522</v>
      </c>
      <c r="F81" s="100">
        <f>'Income Statement'!E5</f>
        <v>18609958</v>
      </c>
      <c r="G81" s="101">
        <f>'Income Statement'!F5</f>
        <v>16195262</v>
      </c>
      <c r="H81" s="98"/>
      <c r="I81" s="100">
        <f>'Income Statement'!H3</f>
        <v>36267220</v>
      </c>
      <c r="J81" s="100">
        <f>'Income Statement'!I3</f>
        <v>43669883</v>
      </c>
      <c r="K81" s="100">
        <f>'Income Statement'!J3</f>
        <v>71704373</v>
      </c>
      <c r="L81" s="100" t="str">
        <f>'Income Statement'!K3</f>
        <v xml:space="preserve">79,118,320
</v>
      </c>
      <c r="M81" s="100" t="str">
        <f>'Income Statement'!L3</f>
        <v xml:space="preserve">77,569,443
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.25">
      <c r="B82" s="99" t="s">
        <v>115</v>
      </c>
      <c r="C82" s="100">
        <f t="shared" ref="C82:G82" si="12">C18</f>
        <v>1097460409</v>
      </c>
      <c r="D82" s="100">
        <f t="shared" si="12"/>
        <v>853224189</v>
      </c>
      <c r="E82" s="100">
        <f t="shared" si="12"/>
        <v>706642170</v>
      </c>
      <c r="F82" s="100">
        <f t="shared" si="12"/>
        <v>607434536</v>
      </c>
      <c r="G82" s="101">
        <f t="shared" si="12"/>
        <v>579093669</v>
      </c>
      <c r="H82" s="98"/>
      <c r="I82" s="100">
        <v>579093669</v>
      </c>
      <c r="J82" s="100">
        <v>607434536</v>
      </c>
      <c r="K82" s="100">
        <v>706642170</v>
      </c>
      <c r="L82" s="100">
        <v>853224189</v>
      </c>
      <c r="M82" s="101">
        <v>1097460409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.25">
      <c r="B83" s="99" t="s">
        <v>116</v>
      </c>
      <c r="C83" s="100">
        <f>'Income Statement'!B19</f>
        <v>21320999</v>
      </c>
      <c r="D83" s="100">
        <f>'Income Statement'!C19</f>
        <v>20309105</v>
      </c>
      <c r="E83" s="100">
        <f>'Income Statement'!D19</f>
        <v>18377125</v>
      </c>
      <c r="F83" s="100">
        <f>'Income Statement'!E19</f>
        <v>15891521</v>
      </c>
      <c r="G83" s="101">
        <f>'Income Statement'!F19</f>
        <v>15142197</v>
      </c>
      <c r="H83" s="98"/>
      <c r="I83" s="100">
        <f>'Income Statement'!H4</f>
        <v>20071958</v>
      </c>
      <c r="J83" s="100">
        <f>'Income Statement'!I4</f>
        <v>25059925</v>
      </c>
      <c r="K83" s="100">
        <f>'Income Statement'!J4</f>
        <v>49567851</v>
      </c>
      <c r="L83" s="100">
        <f>'Income Statement'!K4</f>
        <v>48842539</v>
      </c>
      <c r="M83" s="100">
        <f>'Income Statement'!L4</f>
        <v>45139897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.25">
      <c r="B84" s="99" t="s">
        <v>71</v>
      </c>
      <c r="C84" s="100">
        <f t="shared" ref="C84:G84" si="13">C27</f>
        <v>1158119893</v>
      </c>
      <c r="D84" s="100">
        <f t="shared" si="13"/>
        <v>895369951</v>
      </c>
      <c r="E84" s="100">
        <f t="shared" si="13"/>
        <v>741396075</v>
      </c>
      <c r="F84" s="100">
        <f t="shared" si="13"/>
        <v>636292849</v>
      </c>
      <c r="G84" s="101">
        <f t="shared" si="13"/>
        <v>602385162</v>
      </c>
      <c r="H84" s="102"/>
      <c r="I84" s="100">
        <v>602385162</v>
      </c>
      <c r="J84" s="100">
        <v>636292849</v>
      </c>
      <c r="K84" s="100">
        <v>741396075</v>
      </c>
      <c r="L84" s="100">
        <v>895369951</v>
      </c>
      <c r="M84" s="101">
        <v>1158119893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.25">
      <c r="B85" s="23"/>
      <c r="C85" s="24"/>
      <c r="D85" s="24"/>
      <c r="E85" s="24"/>
      <c r="F85" s="24"/>
      <c r="G85" s="25"/>
      <c r="H85" s="54"/>
      <c r="I85" s="24"/>
      <c r="J85" s="24"/>
      <c r="K85" s="24"/>
      <c r="L85" s="24"/>
      <c r="M85" s="25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.25">
      <c r="A86" s="62" t="s">
        <v>183</v>
      </c>
      <c r="B86" s="63" t="s">
        <v>107</v>
      </c>
      <c r="C86" s="64">
        <f t="shared" ref="C86:G86" si="14">C87*C88</f>
        <v>0.17336872560295866</v>
      </c>
      <c r="D86" s="64">
        <f t="shared" si="14"/>
        <v>0.19855054586784965</v>
      </c>
      <c r="E86" s="64">
        <f t="shared" si="14"/>
        <v>0.16550801169835996</v>
      </c>
      <c r="F86" s="64">
        <f t="shared" si="14"/>
        <v>0.13188185686457354</v>
      </c>
      <c r="G86" s="64">
        <f t="shared" si="14"/>
        <v>0.15737129698491045</v>
      </c>
      <c r="H86" s="67" t="s">
        <v>177</v>
      </c>
      <c r="I86" s="64">
        <v>0.15737129698491045</v>
      </c>
      <c r="J86" s="64">
        <v>0.13188185686457354</v>
      </c>
      <c r="K86" s="64">
        <v>0.16550801169835996</v>
      </c>
      <c r="L86" s="64">
        <v>0.19855054586784965</v>
      </c>
      <c r="M86" s="64">
        <v>0.17336872560295866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.25">
      <c r="A87" s="62"/>
      <c r="B87" s="19" t="s">
        <v>118</v>
      </c>
      <c r="C87" s="20">
        <v>7.7150101433810826E-3</v>
      </c>
      <c r="D87" s="20">
        <v>1.0934779795576284E-2</v>
      </c>
      <c r="E87" s="20">
        <v>8.420372806118636E-3</v>
      </c>
      <c r="F87" s="20">
        <v>6.2706816298168455E-3</v>
      </c>
      <c r="G87" s="21">
        <v>7.7257317865974872E-3</v>
      </c>
      <c r="H87" s="56" t="s">
        <v>166</v>
      </c>
      <c r="I87" s="27">
        <v>7.7257317865974872E-3</v>
      </c>
      <c r="J87" s="27">
        <v>6.2706816298168455E-3</v>
      </c>
      <c r="K87" s="27">
        <v>8.420372806118636E-3</v>
      </c>
      <c r="L87" s="27">
        <v>1.0934779795576284E-2</v>
      </c>
      <c r="M87" s="21">
        <v>7.7150101433810826E-3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.25">
      <c r="A88" s="62"/>
      <c r="B88" s="19" t="s">
        <v>117</v>
      </c>
      <c r="C88" s="22">
        <f t="shared" ref="C88:G88" si="15">C31/C30</f>
        <v>22.471613436788079</v>
      </c>
      <c r="D88" s="22">
        <f t="shared" si="15"/>
        <v>18.157708667180859</v>
      </c>
      <c r="E88" s="22">
        <f t="shared" si="15"/>
        <v>19.655663176586923</v>
      </c>
      <c r="F88" s="22">
        <f t="shared" si="15"/>
        <v>21.031502578201465</v>
      </c>
      <c r="G88" s="26">
        <f t="shared" si="15"/>
        <v>20.369759309780392</v>
      </c>
      <c r="H88" s="56" t="s">
        <v>170</v>
      </c>
      <c r="I88" s="22">
        <v>20.369759309780392</v>
      </c>
      <c r="J88" s="22">
        <v>21.031502578201465</v>
      </c>
      <c r="K88" s="22">
        <v>19.655663176586923</v>
      </c>
      <c r="L88" s="22">
        <v>18.157708667180859</v>
      </c>
      <c r="M88" s="26">
        <v>22.471613436788079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.25">
      <c r="A89" s="62"/>
      <c r="B89" s="19" t="s">
        <v>119</v>
      </c>
      <c r="C89" s="20">
        <f>('Income Statement'!B25/('Income Statement'!B5))</f>
        <v>0.29959509763103065</v>
      </c>
      <c r="D89" s="20">
        <f>('Income Statement'!C25/('Income Statement'!C5))</f>
        <v>0.3586033668297442</v>
      </c>
      <c r="E89" s="20">
        <f>('Income Statement'!D25/('Income Statement'!D5))</f>
        <v>0.31702816729746436</v>
      </c>
      <c r="F89" s="20">
        <f>('Income Statement'!E25/('Income Statement'!E5))</f>
        <v>0.2381132724748761</v>
      </c>
      <c r="G89" s="21">
        <f>('Income Statement'!F25/('Income Statement'!F5))</f>
        <v>0.31624594896951963</v>
      </c>
      <c r="H89" s="54" t="s">
        <v>178</v>
      </c>
      <c r="I89" s="27">
        <v>0.31624594896951963</v>
      </c>
      <c r="J89" s="27">
        <v>0.2381132724748761</v>
      </c>
      <c r="K89" s="27">
        <v>0.31702816729746436</v>
      </c>
      <c r="L89" s="27">
        <v>0.3586033668297442</v>
      </c>
      <c r="M89" s="21">
        <v>0.29959509763103065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.25">
      <c r="A90" s="62"/>
      <c r="B90" s="19" t="s">
        <v>120</v>
      </c>
      <c r="C90" s="22">
        <f>'Income Statement'!B5/'Balance Sheet'!B17</f>
        <v>2.5751456563827293E-2</v>
      </c>
      <c r="D90" s="22">
        <f>'Income Statement'!C5/'Balance Sheet'!C17</f>
        <v>3.0492685811195522E-2</v>
      </c>
      <c r="E90" s="22">
        <f>'Income Statement'!D5/'Balance Sheet'!D17</f>
        <v>2.6560330199990982E-2</v>
      </c>
      <c r="F90" s="22">
        <f>'Income Statement'!E5/'Balance Sheet'!E17</f>
        <v>2.6334868126590805E-2</v>
      </c>
      <c r="G90" s="26">
        <f>'Income Statement'!F5/'Balance Sheet'!F17</f>
        <v>2.4429504351823676E-2</v>
      </c>
      <c r="H90" s="54" t="s">
        <v>171</v>
      </c>
      <c r="I90" s="107">
        <v>2.4429504351823676E-2</v>
      </c>
      <c r="J90" s="107">
        <v>2.6334868126590805E-2</v>
      </c>
      <c r="K90" s="107">
        <v>2.6560330199990982E-2</v>
      </c>
      <c r="L90" s="107">
        <v>3.0492685811195522E-2</v>
      </c>
      <c r="M90" s="108">
        <v>2.5751456563827293E-2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.25">
      <c r="B91" s="19"/>
      <c r="C91" s="24"/>
      <c r="D91" s="24"/>
      <c r="E91" s="24"/>
      <c r="F91" s="24"/>
      <c r="G91" s="25"/>
      <c r="H91" s="56"/>
      <c r="I91" s="24"/>
      <c r="J91" s="24"/>
      <c r="K91" s="24"/>
      <c r="L91" s="24"/>
      <c r="M91" s="25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.25">
      <c r="A92" s="62" t="s">
        <v>184</v>
      </c>
      <c r="B92" s="63" t="s">
        <v>107</v>
      </c>
      <c r="C92" s="64">
        <f t="shared" ref="C92:G92" si="16">C93*C94*C95*C96</f>
        <v>0.17336872560295868</v>
      </c>
      <c r="D92" s="64">
        <f t="shared" si="16"/>
        <v>0.19855054586784968</v>
      </c>
      <c r="E92" s="64">
        <f t="shared" si="16"/>
        <v>0.16550801169835996</v>
      </c>
      <c r="F92" s="64">
        <f t="shared" si="16"/>
        <v>0.13188185686457354</v>
      </c>
      <c r="G92" s="64">
        <f t="shared" si="16"/>
        <v>0.15737129698491045</v>
      </c>
      <c r="H92" s="67" t="s">
        <v>176</v>
      </c>
      <c r="I92" s="64">
        <v>0.15737129698491045</v>
      </c>
      <c r="J92" s="64">
        <v>0.13188185686457354</v>
      </c>
      <c r="K92" s="64">
        <v>0.16550801169835996</v>
      </c>
      <c r="L92" s="64">
        <v>0.19855054586784968</v>
      </c>
      <c r="M92" s="64">
        <v>0.17336872560295868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.25">
      <c r="A93" s="62"/>
      <c r="B93" s="57" t="s">
        <v>186</v>
      </c>
      <c r="C93" s="27">
        <f>'Income Statement'!B25/'Income Statement'!B23</f>
        <v>0.61993417516786575</v>
      </c>
      <c r="D93" s="27">
        <f>'Income Statement'!C25/'Income Statement'!C23</f>
        <v>0.60874432277217427</v>
      </c>
      <c r="E93" s="27">
        <f>'Income Statement'!D25/'Income Statement'!D23</f>
        <v>0.67543789069455207</v>
      </c>
      <c r="F93" s="27">
        <f>'Income Statement'!E25/'Income Statement'!E23</f>
        <v>0.64413212965271227</v>
      </c>
      <c r="G93" s="27">
        <f>'Income Statement'!F25/'Income Statement'!F23</f>
        <v>0.61369888160241548</v>
      </c>
      <c r="H93" s="56" t="s">
        <v>173</v>
      </c>
      <c r="I93" s="27">
        <v>0.61369888160241548</v>
      </c>
      <c r="J93" s="27">
        <v>0.64413212965271227</v>
      </c>
      <c r="K93" s="27">
        <v>0.67543789069455207</v>
      </c>
      <c r="L93" s="27">
        <v>0.60874432277217427</v>
      </c>
      <c r="M93" s="27">
        <v>0.61993417516786575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.25">
      <c r="A94" s="62"/>
      <c r="B94" s="57" t="s">
        <v>187</v>
      </c>
      <c r="C94" s="20">
        <f>'Income Statement'!B23/'Income Statement'!B14</f>
        <v>0.37335081681593202</v>
      </c>
      <c r="D94" s="20">
        <f>'Income Statement'!C23/'Income Statement'!C14</f>
        <v>0.44455505171736798</v>
      </c>
      <c r="E94" s="20">
        <f>'Income Statement'!D23/'Income Statement'!D14</f>
        <v>0.3517250017349034</v>
      </c>
      <c r="F94" s="20">
        <f>'Income Statement'!E23/'Income Statement'!E14</f>
        <v>0.28390485611094396</v>
      </c>
      <c r="G94" s="20">
        <f>'Income Statement'!F23/'Income Statement'!F14</f>
        <v>0.37405154843499944</v>
      </c>
      <c r="H94" s="54" t="s">
        <v>172</v>
      </c>
      <c r="I94" s="27">
        <v>0.37405154843499944</v>
      </c>
      <c r="J94" s="27">
        <v>0.28390485611094396</v>
      </c>
      <c r="K94" s="27">
        <v>0.3517250017349034</v>
      </c>
      <c r="L94" s="27">
        <v>0.44455505171736798</v>
      </c>
      <c r="M94" s="27">
        <v>0.37335081681593202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.25">
      <c r="A95" s="62"/>
      <c r="B95" s="57" t="s">
        <v>188</v>
      </c>
      <c r="C95" s="20">
        <f>'Income Statement'!B14/'Balance Sheet'!B17</f>
        <v>3.3332955089458341E-2</v>
      </c>
      <c r="D95" s="20">
        <f>'Income Statement'!C14/'Balance Sheet'!C17</f>
        <v>4.0406345029948991E-2</v>
      </c>
      <c r="E95" s="20">
        <f>'Income Statement'!D14/'Balance Sheet'!D17</f>
        <v>3.5443994421948649E-2</v>
      </c>
      <c r="F95" s="20">
        <f>'Income Statement'!E14/'Balance Sheet'!E17</f>
        <v>3.4289959176036805E-2</v>
      </c>
      <c r="G95" s="20">
        <f>'Income Statement'!F14/'Balance Sheet'!F17</f>
        <v>3.3655251319313684E-2</v>
      </c>
      <c r="H95" s="54" t="s">
        <v>174</v>
      </c>
      <c r="I95" s="27">
        <v>3.3655251319313684E-2</v>
      </c>
      <c r="J95" s="27">
        <v>3.4289959176036805E-2</v>
      </c>
      <c r="K95" s="27">
        <v>3.5443994421948649E-2</v>
      </c>
      <c r="L95" s="27">
        <v>4.0406345029948991E-2</v>
      </c>
      <c r="M95" s="27">
        <v>3.3332955089458341E-2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.25">
      <c r="A96" s="62"/>
      <c r="B96" s="57" t="s">
        <v>189</v>
      </c>
      <c r="C96" s="22">
        <f>'Balance Sheet'!B17/'Balance Sheet'!B41</f>
        <v>22.471613436788079</v>
      </c>
      <c r="D96" s="22">
        <f>'Balance Sheet'!C17/'Balance Sheet'!C41</f>
        <v>18.157708667180859</v>
      </c>
      <c r="E96" s="22">
        <f>'Balance Sheet'!D17/'Balance Sheet'!D41</f>
        <v>19.655663176586923</v>
      </c>
      <c r="F96" s="22">
        <f>'Balance Sheet'!E17/'Balance Sheet'!E41</f>
        <v>21.031502578201465</v>
      </c>
      <c r="G96" s="22">
        <f>'Balance Sheet'!F17/'Balance Sheet'!F41</f>
        <v>20.369759309780392</v>
      </c>
      <c r="H96" s="56" t="s">
        <v>175</v>
      </c>
      <c r="I96" s="22">
        <v>20.369759309780392</v>
      </c>
      <c r="J96" s="22">
        <v>21.031502578201465</v>
      </c>
      <c r="K96" s="22">
        <v>19.655663176586923</v>
      </c>
      <c r="L96" s="22">
        <v>18.157708667180859</v>
      </c>
      <c r="M96" s="22">
        <v>22.471613436788079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2:30" ht="23.25">
      <c r="B97" s="19"/>
      <c r="C97" s="24"/>
      <c r="D97" s="24"/>
      <c r="E97" s="24"/>
      <c r="F97" s="24"/>
      <c r="G97" s="25"/>
      <c r="H97" s="56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2:30" ht="15.75" customHeight="1">
      <c r="B98" s="2"/>
      <c r="C98" s="2"/>
      <c r="D98" s="2"/>
      <c r="E98" s="2"/>
      <c r="F98" s="2"/>
      <c r="G98" s="2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2:30" ht="15.7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2:30" ht="15.7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2:30" ht="15.7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2:30" ht="15.7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2:30" ht="15.7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2:30" ht="15.7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2:30" ht="15.7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2:30" ht="15.7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2:30" ht="15.7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2:30" ht="15.7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2:30" ht="15.7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2:30" ht="15.7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2:30" ht="15.7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2:30" ht="15.7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2:30" ht="15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2:30" ht="15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2:30" ht="15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2:30" ht="15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2:30" ht="15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2:30" ht="15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2:30" ht="15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2:30" ht="15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2:30" ht="15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2:30" ht="15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2:30" ht="15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2:30" ht="15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2:30" ht="15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2:30" ht="15.7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2:30" ht="15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2:30" ht="15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2:30" ht="15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</sheetData>
  <mergeCells count="3">
    <mergeCell ref="B72:M72"/>
    <mergeCell ref="A86:A90"/>
    <mergeCell ref="A92:A96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0"/>
  <sheetViews>
    <sheetView topLeftCell="A13" zoomScale="78" zoomScaleNormal="78" workbookViewId="0">
      <selection activeCell="H38" sqref="H38:L38"/>
    </sheetView>
  </sheetViews>
  <sheetFormatPr defaultColWidth="14.42578125" defaultRowHeight="15"/>
  <cols>
    <col min="1" max="1" width="61.28515625" customWidth="1"/>
    <col min="2" max="6" width="12.5703125" hidden="1" customWidth="1"/>
    <col min="7" max="7" width="66.85546875" bestFit="1" customWidth="1"/>
    <col min="8" max="10" width="10.5703125" bestFit="1" customWidth="1"/>
    <col min="11" max="12" width="12" bestFit="1" customWidth="1"/>
    <col min="15" max="15" width="10.42578125" hidden="1" customWidth="1"/>
    <col min="16" max="20" width="0" hidden="1" customWidth="1"/>
  </cols>
  <sheetData>
    <row r="1" spans="1:12" ht="26.25">
      <c r="A1" s="48" t="s">
        <v>121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26.25">
      <c r="A2" s="28"/>
      <c r="B2" s="17">
        <v>2021</v>
      </c>
      <c r="C2" s="17">
        <v>2020</v>
      </c>
      <c r="D2" s="17">
        <v>2019</v>
      </c>
      <c r="E2" s="17">
        <v>2018</v>
      </c>
      <c r="F2" s="18">
        <v>2017</v>
      </c>
      <c r="G2" s="53"/>
      <c r="H2" s="17">
        <v>2017</v>
      </c>
      <c r="I2" s="17">
        <v>2018</v>
      </c>
      <c r="J2" s="17">
        <v>2019</v>
      </c>
      <c r="K2" s="17">
        <v>2020</v>
      </c>
      <c r="L2" s="18">
        <v>2021</v>
      </c>
    </row>
    <row r="3" spans="1:12" ht="18.75">
      <c r="A3" s="29" t="s">
        <v>80</v>
      </c>
      <c r="B3" s="30">
        <v>2.5121787179347967E-2</v>
      </c>
      <c r="C3" s="30">
        <v>3.0347781402047521E-2</v>
      </c>
      <c r="D3" s="30">
        <v>2.6794391390056745E-2</v>
      </c>
      <c r="E3" s="30">
        <v>2.9126761384542073E-2</v>
      </c>
      <c r="F3" s="31">
        <v>1.9300090610075291E-2</v>
      </c>
      <c r="G3" s="58"/>
      <c r="H3" s="30">
        <v>1.9300090610075291E-2</v>
      </c>
      <c r="I3" s="30">
        <v>2.9126761384542073E-2</v>
      </c>
      <c r="J3" s="30">
        <v>2.6794391390056745E-2</v>
      </c>
      <c r="K3" s="30">
        <v>3.0347781402047521E-2</v>
      </c>
      <c r="L3" s="31">
        <v>2.5121787179347967E-2</v>
      </c>
    </row>
    <row r="4" spans="1:12" ht="18.75">
      <c r="A4" s="29" t="s">
        <v>81</v>
      </c>
      <c r="B4" s="30">
        <v>1.0433798373482352E-2</v>
      </c>
      <c r="C4" s="30">
        <v>4.3921137716463948E-3</v>
      </c>
      <c r="D4" s="30">
        <v>2.0736021819601808E-3</v>
      </c>
      <c r="E4" s="30">
        <v>5.6125451438439515E-3</v>
      </c>
      <c r="F4" s="31">
        <v>-4.5475973795449636E-3</v>
      </c>
      <c r="G4" s="58"/>
      <c r="H4" s="30">
        <v>-4.5475973795449636E-3</v>
      </c>
      <c r="I4" s="30">
        <v>5.6125451438439515E-3</v>
      </c>
      <c r="J4" s="30">
        <v>2.0736021819601808E-3</v>
      </c>
      <c r="K4" s="30">
        <v>4.3921137716463948E-3</v>
      </c>
      <c r="L4" s="31">
        <v>1.0433798373482352E-2</v>
      </c>
    </row>
    <row r="5" spans="1:12" ht="18.75">
      <c r="A5" s="29" t="s">
        <v>122</v>
      </c>
      <c r="B5" s="30">
        <v>1.2181678995728362E-2</v>
      </c>
      <c r="C5" s="30">
        <v>5.9101616533350602E-3</v>
      </c>
      <c r="D5" s="30">
        <v>2.3198739702196373E-3</v>
      </c>
      <c r="E5" s="30">
        <v>4.782518939849008E-3</v>
      </c>
      <c r="F5" s="31">
        <v>-4.8996183428574609E-3</v>
      </c>
      <c r="G5" s="58"/>
      <c r="H5" s="30">
        <v>-4.8996183428574609E-3</v>
      </c>
      <c r="I5" s="30">
        <v>4.782518939849008E-3</v>
      </c>
      <c r="J5" s="30">
        <v>2.3198739702196373E-3</v>
      </c>
      <c r="K5" s="30">
        <v>5.9101616533350602E-3</v>
      </c>
      <c r="L5" s="31">
        <v>1.2181678995728362E-2</v>
      </c>
    </row>
    <row r="6" spans="1:12" ht="18.75">
      <c r="A6" s="29" t="s">
        <v>123</v>
      </c>
      <c r="B6" s="30">
        <v>8.8934105101129507E-2</v>
      </c>
      <c r="C6" s="30">
        <v>3.6113770207443038E-2</v>
      </c>
      <c r="D6" s="30">
        <v>1.8236678993626344E-2</v>
      </c>
      <c r="E6" s="30">
        <v>4.3469027014322849E-2</v>
      </c>
      <c r="F6" s="31">
        <v>-3.614759468943473E-2</v>
      </c>
      <c r="G6" s="58"/>
      <c r="H6" s="30">
        <v>-3.614759468943473E-2</v>
      </c>
      <c r="I6" s="30">
        <v>4.3469027014322849E-2</v>
      </c>
      <c r="J6" s="30">
        <v>1.8236678993626344E-2</v>
      </c>
      <c r="K6" s="30">
        <v>3.6113770207443038E-2</v>
      </c>
      <c r="L6" s="31">
        <v>8.8934105101129507E-2</v>
      </c>
    </row>
    <row r="7" spans="1:12" ht="18.75">
      <c r="A7" s="29" t="s">
        <v>124</v>
      </c>
      <c r="B7" s="30">
        <v>1.04E-2</v>
      </c>
      <c r="C7" s="30">
        <v>5.0000000000000001E-3</v>
      </c>
      <c r="D7" s="30">
        <v>2.0999999999999999E-3</v>
      </c>
      <c r="E7" s="30">
        <v>4.3E-3</v>
      </c>
      <c r="F7" s="30">
        <v>-4.4999999999999997E-3</v>
      </c>
      <c r="G7" s="30"/>
      <c r="H7" s="30">
        <v>-4.4999999999999997E-3</v>
      </c>
      <c r="I7" s="30">
        <v>4.3E-3</v>
      </c>
      <c r="J7" s="30">
        <v>2.0999999999999999E-3</v>
      </c>
      <c r="K7" s="30">
        <v>5.0000000000000001E-3</v>
      </c>
      <c r="L7" s="30">
        <v>1.04E-2</v>
      </c>
    </row>
    <row r="8" spans="1:12" ht="18.75">
      <c r="A8" s="29" t="s">
        <v>125</v>
      </c>
      <c r="B8" s="30">
        <v>8.8934105101129507E-2</v>
      </c>
      <c r="C8" s="30">
        <v>3.6113770207443038E-2</v>
      </c>
      <c r="D8" s="30">
        <v>1.8236678993626344E-2</v>
      </c>
      <c r="E8" s="30">
        <v>4.3469027014322849E-2</v>
      </c>
      <c r="F8" s="31">
        <v>-3.614759468943473E-2</v>
      </c>
      <c r="G8" s="58"/>
      <c r="H8" s="30">
        <v>-3.614759468943473E-2</v>
      </c>
      <c r="I8" s="30">
        <v>4.3469027014322849E-2</v>
      </c>
      <c r="J8" s="30">
        <v>1.8236678993626344E-2</v>
      </c>
      <c r="K8" s="30">
        <v>3.6113770207443038E-2</v>
      </c>
      <c r="L8" s="31">
        <v>8.8934105101129507E-2</v>
      </c>
    </row>
    <row r="9" spans="1:12" ht="18.75">
      <c r="A9" s="29" t="s">
        <v>126</v>
      </c>
      <c r="B9" s="30">
        <v>0.45348400505538256</v>
      </c>
      <c r="C9" s="30">
        <v>0.44510022855172998</v>
      </c>
      <c r="D9" s="30">
        <v>0.61924149046760169</v>
      </c>
      <c r="E9" s="30">
        <v>0.77874826999626579</v>
      </c>
      <c r="F9" s="31">
        <v>0.82202590265438547</v>
      </c>
      <c r="G9" s="58"/>
      <c r="H9" s="30">
        <v>0.82202590265438547</v>
      </c>
      <c r="I9" s="30">
        <v>0.77874826999626579</v>
      </c>
      <c r="J9" s="30">
        <v>0.61924149046760169</v>
      </c>
      <c r="K9" s="30">
        <v>0.44510022855172998</v>
      </c>
      <c r="L9" s="31">
        <v>0.45348400505538256</v>
      </c>
    </row>
    <row r="10" spans="1:12">
      <c r="A10" s="46"/>
      <c r="B10" s="41"/>
      <c r="C10" s="41"/>
      <c r="D10" s="41"/>
      <c r="E10" s="41"/>
      <c r="F10" s="42"/>
      <c r="G10" s="41"/>
      <c r="H10" s="41"/>
      <c r="I10" s="41"/>
      <c r="J10" s="41"/>
      <c r="K10" s="41"/>
      <c r="L10" s="42"/>
    </row>
    <row r="11" spans="1:12" ht="26.25">
      <c r="A11" s="48" t="s">
        <v>127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26.25">
      <c r="A12" s="28"/>
      <c r="B12" s="17">
        <v>2021</v>
      </c>
      <c r="C12" s="17">
        <v>2020</v>
      </c>
      <c r="D12" s="17">
        <v>2019</v>
      </c>
      <c r="E12" s="17">
        <v>2018</v>
      </c>
      <c r="F12" s="18">
        <v>2017</v>
      </c>
      <c r="G12" s="53"/>
      <c r="H12" s="17">
        <v>2017</v>
      </c>
      <c r="I12" s="17">
        <v>2018</v>
      </c>
      <c r="J12" s="17">
        <v>2019</v>
      </c>
      <c r="K12" s="17">
        <v>2020</v>
      </c>
      <c r="L12" s="18">
        <v>2021</v>
      </c>
    </row>
    <row r="13" spans="1:12" ht="18.75">
      <c r="A13" s="32" t="s">
        <v>128</v>
      </c>
      <c r="B13" s="33"/>
      <c r="C13" s="33"/>
      <c r="D13" s="33"/>
      <c r="E13" s="33"/>
      <c r="F13" s="33"/>
      <c r="G13" s="33"/>
      <c r="H13" s="30">
        <f>P33/'Balance Sheet'!H17</f>
        <v>7.4132886847757415E-2</v>
      </c>
      <c r="I13" s="30">
        <f>Q33/'Balance Sheet'!I17</f>
        <v>2.9386941891121961E-2</v>
      </c>
      <c r="J13" s="30">
        <f>R33/'Balance Sheet'!J17</f>
        <v>2.6294676768589726E-2</v>
      </c>
      <c r="K13" s="30">
        <f>S33/'Balance Sheet'!K17</f>
        <v>3.0257862432900587E-2</v>
      </c>
      <c r="L13" s="31">
        <f>T33/'Balance Sheet'!L17</f>
        <v>4.0426363377863699E-2</v>
      </c>
    </row>
    <row r="14" spans="1:12" ht="18.75">
      <c r="A14" s="29" t="s">
        <v>129</v>
      </c>
      <c r="B14" s="30">
        <v>0.3793632663534941</v>
      </c>
      <c r="C14" s="30">
        <v>0.39839723682251421</v>
      </c>
      <c r="D14" s="30">
        <v>0.44759426135422897</v>
      </c>
      <c r="E14" s="30">
        <v>0.48562149570563989</v>
      </c>
      <c r="F14" s="31">
        <v>0.39036735341946005</v>
      </c>
      <c r="G14" s="58"/>
      <c r="H14" s="30">
        <v>0.39036735341946005</v>
      </c>
      <c r="I14" s="30">
        <v>0.48562149570563989</v>
      </c>
      <c r="J14" s="30">
        <v>0.44759426135422897</v>
      </c>
      <c r="K14" s="30">
        <v>0.39839723682251421</v>
      </c>
      <c r="L14" s="31">
        <v>0.3793632663534941</v>
      </c>
    </row>
    <row r="15" spans="1:12" ht="18.75">
      <c r="A15" s="29" t="s">
        <v>130</v>
      </c>
      <c r="B15" s="30">
        <v>7.3850530161992764E-2</v>
      </c>
      <c r="C15" s="30">
        <v>8.2464945071140758E-2</v>
      </c>
      <c r="D15" s="30">
        <v>8.5123992435569562E-2</v>
      </c>
      <c r="E15" s="30">
        <v>7.541207451706769E-2</v>
      </c>
      <c r="F15" s="31">
        <v>7.1576544312907525E-2</v>
      </c>
      <c r="G15" s="58"/>
      <c r="H15" s="30">
        <v>7.1576544312907525E-2</v>
      </c>
      <c r="I15" s="30">
        <v>7.541207451706769E-2</v>
      </c>
      <c r="J15" s="30">
        <v>8.5123992435569562E-2</v>
      </c>
      <c r="K15" s="30">
        <v>8.2464945071140758E-2</v>
      </c>
      <c r="L15" s="31">
        <v>7.3850530161992764E-2</v>
      </c>
    </row>
    <row r="16" spans="1:12" ht="18.75">
      <c r="A16" s="29" t="s">
        <v>131</v>
      </c>
      <c r="B16" s="30">
        <v>0.49171115011744854</v>
      </c>
      <c r="C16" s="30">
        <v>0.45446058840648929</v>
      </c>
      <c r="D16" s="30">
        <v>0.35671873752974959</v>
      </c>
      <c r="E16" s="30">
        <v>0.36993280907704396</v>
      </c>
      <c r="F16" s="31">
        <v>0.47395078670064822</v>
      </c>
      <c r="G16" s="58"/>
      <c r="H16" s="30">
        <v>0.47395078670064822</v>
      </c>
      <c r="I16" s="30">
        <v>0.36993280907704396</v>
      </c>
      <c r="J16" s="30">
        <v>0.35671873752974959</v>
      </c>
      <c r="K16" s="30">
        <v>0.45446058840648929</v>
      </c>
      <c r="L16" s="31">
        <v>0.49171115011744854</v>
      </c>
    </row>
    <row r="17" spans="1:20">
      <c r="A17" s="46"/>
      <c r="B17" s="41"/>
      <c r="C17" s="41"/>
      <c r="D17" s="41"/>
      <c r="E17" s="41"/>
      <c r="F17" s="42"/>
      <c r="G17" s="41"/>
      <c r="H17" s="41"/>
      <c r="I17" s="41"/>
      <c r="J17" s="41"/>
      <c r="K17" s="41"/>
      <c r="L17" s="42"/>
    </row>
    <row r="18" spans="1:20" ht="26.25">
      <c r="A18" s="48" t="s">
        <v>132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</row>
    <row r="19" spans="1:20" ht="26.25">
      <c r="A19" s="28"/>
      <c r="B19" s="17">
        <v>2021</v>
      </c>
      <c r="C19" s="17">
        <v>2020</v>
      </c>
      <c r="D19" s="17">
        <v>2019</v>
      </c>
      <c r="E19" s="17">
        <v>2018</v>
      </c>
      <c r="F19" s="18">
        <v>2017</v>
      </c>
      <c r="G19" s="53"/>
      <c r="H19" s="17">
        <v>2017</v>
      </c>
      <c r="I19" s="17">
        <v>2018</v>
      </c>
      <c r="J19" s="17">
        <v>2019</v>
      </c>
      <c r="K19" s="17">
        <v>2020</v>
      </c>
      <c r="L19" s="18">
        <v>2021</v>
      </c>
    </row>
    <row r="20" spans="1:20" ht="18.75">
      <c r="A20" s="103" t="s">
        <v>90</v>
      </c>
      <c r="B20" s="104"/>
      <c r="C20" s="104"/>
      <c r="D20" s="104"/>
      <c r="E20" s="104"/>
      <c r="F20" s="105"/>
      <c r="G20" s="106"/>
      <c r="H20" s="104"/>
      <c r="I20" s="104"/>
      <c r="J20" s="104"/>
      <c r="K20" s="104"/>
      <c r="L20" s="105"/>
    </row>
    <row r="21" spans="1:20" ht="18.75">
      <c r="A21" s="29" t="s">
        <v>91</v>
      </c>
      <c r="B21" s="35">
        <v>2.0145322434150774</v>
      </c>
      <c r="C21" s="35">
        <v>1.8503634031637453</v>
      </c>
      <c r="D21" s="35">
        <v>1.8085221143473571</v>
      </c>
      <c r="E21" s="35">
        <v>1.1116220735785953</v>
      </c>
      <c r="F21" s="36">
        <v>1.332988089073019</v>
      </c>
      <c r="G21" s="59"/>
      <c r="H21" s="35">
        <v>1.332988089073019</v>
      </c>
      <c r="I21" s="35">
        <v>1.1116220735785953</v>
      </c>
      <c r="J21" s="35">
        <v>1.8085221143473571</v>
      </c>
      <c r="K21" s="35">
        <v>1.8503634031637453</v>
      </c>
      <c r="L21" s="36">
        <v>2.0145322434150774</v>
      </c>
    </row>
    <row r="22" spans="1:20" ht="18.75">
      <c r="A22" s="103" t="s">
        <v>95</v>
      </c>
      <c r="B22" s="104"/>
      <c r="C22" s="104"/>
      <c r="D22" s="104"/>
      <c r="E22" s="104"/>
      <c r="F22" s="105"/>
      <c r="G22" s="106"/>
      <c r="H22" s="104"/>
      <c r="I22" s="104"/>
      <c r="J22" s="104"/>
      <c r="K22" s="104"/>
      <c r="L22" s="105"/>
    </row>
    <row r="23" spans="1:20">
      <c r="A23" s="46"/>
      <c r="B23" s="41"/>
      <c r="C23" s="41"/>
      <c r="D23" s="41"/>
      <c r="E23" s="41"/>
      <c r="F23" s="42"/>
      <c r="G23" s="41"/>
      <c r="H23" s="41"/>
      <c r="I23" s="41"/>
      <c r="J23" s="41"/>
      <c r="K23" s="41"/>
      <c r="L23" s="42"/>
    </row>
    <row r="24" spans="1:20" ht="26.25">
      <c r="A24" s="48" t="s">
        <v>133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</row>
    <row r="25" spans="1:20" ht="26.25">
      <c r="A25" s="28"/>
      <c r="B25" s="17">
        <v>2021</v>
      </c>
      <c r="C25" s="17">
        <v>2020</v>
      </c>
      <c r="D25" s="17">
        <v>2019</v>
      </c>
      <c r="E25" s="17">
        <v>2018</v>
      </c>
      <c r="F25" s="18">
        <v>2017</v>
      </c>
      <c r="G25" s="53"/>
      <c r="H25" s="17">
        <v>2017</v>
      </c>
      <c r="I25" s="17">
        <v>2018</v>
      </c>
      <c r="J25" s="17">
        <v>2019</v>
      </c>
      <c r="K25" s="17">
        <v>2020</v>
      </c>
      <c r="L25" s="18">
        <v>2021</v>
      </c>
    </row>
    <row r="26" spans="1:20" ht="18.75">
      <c r="A26" s="69" t="s">
        <v>185</v>
      </c>
      <c r="B26" s="35">
        <v>1.3176955341044831</v>
      </c>
      <c r="C26" s="35">
        <v>1.0580940899831748</v>
      </c>
      <c r="D26" s="35">
        <v>1.0312515352074776</v>
      </c>
      <c r="E26" s="35">
        <v>1.0721448468924104</v>
      </c>
      <c r="F26" s="36">
        <v>1.0173813192532266</v>
      </c>
      <c r="G26" s="59"/>
      <c r="H26" s="35">
        <v>1.0173813192532266</v>
      </c>
      <c r="I26" s="35">
        <v>1.0721448468924104</v>
      </c>
      <c r="J26" s="35">
        <v>1.0312515352074776</v>
      </c>
      <c r="K26" s="35">
        <v>1.0580940899831748</v>
      </c>
      <c r="L26" s="36">
        <v>1.3176955341044831</v>
      </c>
    </row>
    <row r="27" spans="1:20" ht="18.75">
      <c r="A27" s="29" t="s">
        <v>99</v>
      </c>
      <c r="B27" s="30">
        <v>0.60150352363038317</v>
      </c>
      <c r="C27" s="30">
        <v>0.95457933838650033</v>
      </c>
      <c r="D27" s="30">
        <v>0.57388256878498511</v>
      </c>
      <c r="E27" s="30">
        <v>0.54748613552497316</v>
      </c>
      <c r="F27" s="31">
        <v>0.54793223807334746</v>
      </c>
      <c r="G27" s="58"/>
      <c r="H27" s="30">
        <v>0.54793223807334746</v>
      </c>
      <c r="I27" s="30">
        <v>0.54748613552497316</v>
      </c>
      <c r="J27" s="30">
        <v>0.57388256878498511</v>
      </c>
      <c r="K27" s="30">
        <v>0.95457933838650033</v>
      </c>
      <c r="L27" s="31">
        <v>0.60150352363038317</v>
      </c>
    </row>
    <row r="28" spans="1:20">
      <c r="A28" s="46"/>
      <c r="B28" s="41"/>
      <c r="C28" s="41"/>
      <c r="D28" s="41"/>
      <c r="E28" s="41"/>
      <c r="F28" s="42"/>
      <c r="G28" s="41"/>
      <c r="H28" s="41"/>
      <c r="I28" s="41"/>
      <c r="J28" s="41"/>
      <c r="K28" s="41"/>
      <c r="L28" s="42"/>
    </row>
    <row r="29" spans="1:20" ht="26.25">
      <c r="A29" s="48" t="s">
        <v>134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</row>
    <row r="30" spans="1:20" ht="26.25">
      <c r="A30" s="28"/>
      <c r="B30" s="17">
        <v>2021</v>
      </c>
      <c r="C30" s="17">
        <v>2020</v>
      </c>
      <c r="D30" s="17">
        <v>2019</v>
      </c>
      <c r="E30" s="17">
        <v>2018</v>
      </c>
      <c r="F30" s="18">
        <v>2017</v>
      </c>
      <c r="G30" s="53"/>
      <c r="H30" s="17">
        <v>2017</v>
      </c>
      <c r="I30" s="17">
        <v>2018</v>
      </c>
      <c r="J30" s="17">
        <v>2019</v>
      </c>
      <c r="K30" s="17">
        <v>2020</v>
      </c>
      <c r="L30" s="18">
        <v>2021</v>
      </c>
    </row>
    <row r="31" spans="1:20" ht="19.5" thickBot="1">
      <c r="A31" s="29" t="s">
        <v>103</v>
      </c>
      <c r="B31" s="33">
        <v>22.02</v>
      </c>
      <c r="C31" s="33">
        <v>23.39</v>
      </c>
      <c r="D31" s="33">
        <v>18.54</v>
      </c>
      <c r="E31" s="33">
        <v>23.92</v>
      </c>
      <c r="F31" s="33">
        <v>19.309999999999999</v>
      </c>
      <c r="G31" s="33"/>
      <c r="H31" s="68">
        <v>19.309999999999999</v>
      </c>
      <c r="I31" s="68">
        <v>23.92</v>
      </c>
      <c r="J31" s="68">
        <v>18.54</v>
      </c>
      <c r="K31" s="68">
        <v>23.39</v>
      </c>
      <c r="L31" s="68">
        <v>22.02</v>
      </c>
    </row>
    <row r="32" spans="1:20" ht="19.5" thickBot="1">
      <c r="A32" s="29" t="s">
        <v>135</v>
      </c>
      <c r="B32" s="30">
        <v>4.4500587499556606E-2</v>
      </c>
      <c r="C32" s="30">
        <v>5.5073028118765313E-2</v>
      </c>
      <c r="D32" s="30">
        <v>5.087592268019539E-2</v>
      </c>
      <c r="E32" s="30">
        <v>4.7547720201240901E-2</v>
      </c>
      <c r="F32" s="31">
        <v>4.90923817406059E-2</v>
      </c>
      <c r="G32" s="58"/>
      <c r="H32" s="30">
        <v>4.90923817406059E-2</v>
      </c>
      <c r="I32" s="30">
        <v>4.7547720201240901E-2</v>
      </c>
      <c r="J32" s="30">
        <v>5.087592268019539E-2</v>
      </c>
      <c r="K32" s="30">
        <v>5.5073028118765313E-2</v>
      </c>
      <c r="L32" s="31">
        <v>4.4500587499556606E-2</v>
      </c>
      <c r="O32" s="50"/>
      <c r="P32" s="51">
        <v>2017</v>
      </c>
      <c r="Q32" s="51">
        <v>2018</v>
      </c>
      <c r="R32" s="51">
        <v>2019</v>
      </c>
      <c r="S32" s="51">
        <v>2020</v>
      </c>
      <c r="T32" s="51">
        <v>2021</v>
      </c>
    </row>
    <row r="33" spans="1:20" ht="22.5" customHeight="1" thickBot="1">
      <c r="A33" s="29" t="s">
        <v>136</v>
      </c>
      <c r="B33" s="30"/>
      <c r="C33" s="30"/>
      <c r="D33" s="30"/>
      <c r="E33" s="30"/>
      <c r="F33" s="31"/>
      <c r="G33" s="58"/>
      <c r="H33" s="30">
        <f>P33/'Balance Sheet'!H26</f>
        <v>7.7977544773405766E-2</v>
      </c>
      <c r="I33" s="30">
        <f>Q33/'Balance Sheet'!I26</f>
        <v>3.0857715301059702E-2</v>
      </c>
      <c r="J33" s="30">
        <f>R33/'Balance Sheet'!J26</f>
        <v>2.7709120042520526E-2</v>
      </c>
      <c r="K33" s="30">
        <f>S33/'Balance Sheet'!K26</f>
        <v>3.2021376607189934E-2</v>
      </c>
      <c r="L33" s="30">
        <f>T33/'Balance Sheet'!L26</f>
        <v>4.2309145195675295E-2</v>
      </c>
      <c r="O33" s="50" t="s">
        <v>157</v>
      </c>
      <c r="P33" s="52">
        <v>49145554</v>
      </c>
      <c r="Q33" s="52">
        <v>20766755</v>
      </c>
      <c r="R33" s="52">
        <v>21915115</v>
      </c>
      <c r="S33" s="52">
        <v>30042628</v>
      </c>
      <c r="T33" s="52">
        <v>50910076</v>
      </c>
    </row>
    <row r="34" spans="1:20" ht="18.75">
      <c r="A34" s="29" t="s">
        <v>137</v>
      </c>
      <c r="B34" s="30">
        <v>9.0941298568388548E-2</v>
      </c>
      <c r="C34" s="30">
        <v>0.12161881039884286</v>
      </c>
      <c r="D34" s="30">
        <v>0.13882526600948358</v>
      </c>
      <c r="E34" s="30">
        <v>0.12911595978429982</v>
      </c>
      <c r="F34" s="31">
        <v>0.10333239788213713</v>
      </c>
      <c r="G34" s="58"/>
      <c r="H34" s="30">
        <v>0.10333239788213713</v>
      </c>
      <c r="I34" s="30">
        <v>0.12911595978429982</v>
      </c>
      <c r="J34" s="30">
        <v>0.13882526600948358</v>
      </c>
      <c r="K34" s="30">
        <v>0.12161881039884286</v>
      </c>
      <c r="L34" s="31">
        <v>9.0941298568388548E-2</v>
      </c>
    </row>
    <row r="35" spans="1:20">
      <c r="A35" s="46"/>
      <c r="B35" s="41"/>
      <c r="C35" s="41"/>
      <c r="D35" s="41"/>
      <c r="E35" s="41"/>
      <c r="F35" s="42"/>
      <c r="G35" s="41"/>
      <c r="H35" s="41"/>
      <c r="I35" s="41"/>
      <c r="J35" s="41"/>
      <c r="K35" s="41"/>
      <c r="L35" s="42"/>
    </row>
    <row r="36" spans="1:20" ht="26.25">
      <c r="A36" s="48" t="s">
        <v>138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</row>
    <row r="37" spans="1:20" ht="26.25">
      <c r="A37" s="28"/>
      <c r="B37" s="17">
        <v>2021</v>
      </c>
      <c r="C37" s="17">
        <v>2020</v>
      </c>
      <c r="D37" s="17">
        <v>2019</v>
      </c>
      <c r="E37" s="17">
        <v>2018</v>
      </c>
      <c r="F37" s="18">
        <v>2017</v>
      </c>
      <c r="G37" s="55" t="s">
        <v>164</v>
      </c>
      <c r="H37" s="17">
        <v>2017</v>
      </c>
      <c r="I37" s="17">
        <v>2018</v>
      </c>
      <c r="J37" s="17">
        <v>2019</v>
      </c>
      <c r="K37" s="17">
        <v>2020</v>
      </c>
      <c r="L37" s="18">
        <v>2021</v>
      </c>
    </row>
    <row r="38" spans="1:20" ht="18.75">
      <c r="A38" s="37" t="s">
        <v>139</v>
      </c>
      <c r="B38" s="30">
        <v>0.5006861829</v>
      </c>
      <c r="C38" s="30">
        <v>0.5039510908</v>
      </c>
      <c r="D38" s="30">
        <v>0.61728914999999995</v>
      </c>
      <c r="E38" s="30">
        <v>0.67022181120000002</v>
      </c>
      <c r="F38" s="30">
        <v>0.67000810259999999</v>
      </c>
      <c r="G38" s="61" t="s">
        <v>182</v>
      </c>
      <c r="H38" s="68">
        <v>0.67000810259999999</v>
      </c>
      <c r="I38" s="68">
        <v>0.67022181120000002</v>
      </c>
      <c r="J38" s="68">
        <v>0.61728914999999995</v>
      </c>
      <c r="K38" s="68">
        <v>0.5039510908</v>
      </c>
      <c r="L38" s="68">
        <v>0.5006861829</v>
      </c>
    </row>
    <row r="39" spans="1:20" ht="18.75">
      <c r="A39" s="29" t="s">
        <v>140</v>
      </c>
      <c r="B39" s="35">
        <v>1299.2421770000001</v>
      </c>
      <c r="C39" s="35">
        <v>1417.732698</v>
      </c>
      <c r="D39" s="35">
        <v>931.49734539999997</v>
      </c>
      <c r="E39" s="35">
        <v>587.8585832</v>
      </c>
      <c r="F39" s="35">
        <v>652.61034659999996</v>
      </c>
      <c r="G39" s="35" t="s">
        <v>181</v>
      </c>
      <c r="H39" s="35">
        <v>652.61034659999996</v>
      </c>
      <c r="I39" s="35">
        <v>587.8585832</v>
      </c>
      <c r="J39" s="35">
        <v>931.49734539999997</v>
      </c>
      <c r="K39" s="35">
        <v>1417.732698</v>
      </c>
      <c r="L39" s="35">
        <v>1299.2421770000001</v>
      </c>
    </row>
    <row r="40" spans="1:20" ht="15.75" thickBot="1">
      <c r="A40" s="43"/>
      <c r="B40" s="44"/>
      <c r="C40" s="44"/>
      <c r="D40" s="44"/>
      <c r="E40" s="44"/>
      <c r="F40" s="45"/>
      <c r="G40" s="60"/>
      <c r="H40" s="1"/>
      <c r="I40" s="1"/>
      <c r="J40" s="1"/>
      <c r="K40" s="1"/>
      <c r="L40" s="1"/>
    </row>
  </sheetData>
  <mergeCells count="6">
    <mergeCell ref="A11:L11"/>
    <mergeCell ref="A18:L18"/>
    <mergeCell ref="A24:L24"/>
    <mergeCell ref="A29:L29"/>
    <mergeCell ref="A36:L36"/>
    <mergeCell ref="A1:L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"/>
  <sheetViews>
    <sheetView tabSelected="1" topLeftCell="A18" zoomScaleNormal="100" workbookViewId="0">
      <selection activeCell="Y25" sqref="Y25"/>
    </sheetView>
  </sheetViews>
  <sheetFormatPr defaultColWidth="14.42578125" defaultRowHeight="15" customHeight="1"/>
  <cols>
    <col min="1" max="1" width="41.42578125" style="47" bestFit="1" customWidth="1"/>
    <col min="2" max="6" width="12" style="47" customWidth="1"/>
    <col min="7" max="7" width="9.140625" style="47" customWidth="1"/>
    <col min="8" max="8" width="29.42578125" style="47" customWidth="1"/>
    <col min="9" max="13" width="9.42578125" style="47" hidden="1" customWidth="1"/>
    <col min="14" max="16384" width="14.42578125" style="47"/>
  </cols>
  <sheetData>
    <row r="1" spans="1:18" ht="18.75" customHeight="1">
      <c r="A1" s="94" t="s">
        <v>141</v>
      </c>
      <c r="B1" s="71">
        <v>2021</v>
      </c>
      <c r="C1" s="71">
        <v>2020</v>
      </c>
      <c r="D1" s="71">
        <v>2019</v>
      </c>
      <c r="E1" s="71">
        <v>2018</v>
      </c>
      <c r="F1" s="71">
        <v>2017</v>
      </c>
      <c r="G1" s="72"/>
      <c r="H1" s="70" t="s">
        <v>142</v>
      </c>
      <c r="I1" s="71">
        <v>2021</v>
      </c>
      <c r="J1" s="71">
        <v>2020</v>
      </c>
      <c r="K1" s="71">
        <v>2019</v>
      </c>
      <c r="L1" s="71">
        <v>2018</v>
      </c>
      <c r="M1" s="71">
        <v>2017</v>
      </c>
      <c r="N1" s="71">
        <v>2017</v>
      </c>
      <c r="O1" s="71">
        <v>2018</v>
      </c>
      <c r="P1" s="71">
        <v>2019</v>
      </c>
      <c r="Q1" s="71">
        <v>2020</v>
      </c>
      <c r="R1" s="71">
        <v>2021</v>
      </c>
    </row>
    <row r="2" spans="1:18" ht="18.75" customHeight="1">
      <c r="A2" s="70"/>
      <c r="B2" s="30">
        <v>0.1338</v>
      </c>
      <c r="C2" s="30">
        <v>0.15479999999999999</v>
      </c>
      <c r="D2" s="30">
        <v>0.1338</v>
      </c>
      <c r="E2" s="30">
        <v>0.12509999999999999</v>
      </c>
      <c r="F2" s="30">
        <v>0.12089999999999999</v>
      </c>
      <c r="G2" s="72"/>
      <c r="H2" s="73" t="s">
        <v>158</v>
      </c>
      <c r="I2" s="74">
        <v>0.2</v>
      </c>
      <c r="J2" s="74">
        <v>0.2</v>
      </c>
      <c r="K2" s="74">
        <v>0.2</v>
      </c>
      <c r="L2" s="74">
        <v>0.2</v>
      </c>
      <c r="M2" s="74">
        <v>0.2</v>
      </c>
      <c r="N2" s="74">
        <v>0.2</v>
      </c>
      <c r="O2" s="74">
        <v>0.2</v>
      </c>
      <c r="P2" s="74">
        <v>0.2</v>
      </c>
      <c r="Q2" s="74">
        <v>0.2</v>
      </c>
      <c r="R2" s="74">
        <v>0.2</v>
      </c>
    </row>
    <row r="3" spans="1:18" ht="18.75" customHeight="1">
      <c r="A3" s="70" t="s">
        <v>143</v>
      </c>
      <c r="B3" s="75">
        <v>1</v>
      </c>
      <c r="C3" s="75">
        <v>1</v>
      </c>
      <c r="D3" s="75">
        <v>1</v>
      </c>
      <c r="E3" s="75">
        <v>1</v>
      </c>
      <c r="F3" s="75">
        <v>1</v>
      </c>
      <c r="G3" s="72"/>
      <c r="H3" s="73" t="s">
        <v>159</v>
      </c>
      <c r="I3" s="74">
        <v>0.2</v>
      </c>
      <c r="J3" s="74">
        <v>0.2</v>
      </c>
      <c r="K3" s="74">
        <v>0.2</v>
      </c>
      <c r="L3" s="74">
        <v>0.2</v>
      </c>
      <c r="M3" s="74">
        <v>0.2</v>
      </c>
      <c r="N3" s="74">
        <v>0.2</v>
      </c>
      <c r="O3" s="74">
        <v>0.2</v>
      </c>
      <c r="P3" s="74">
        <v>0.2</v>
      </c>
      <c r="Q3" s="74">
        <v>0.2</v>
      </c>
      <c r="R3" s="74">
        <v>0.2</v>
      </c>
    </row>
    <row r="4" spans="1:18" ht="18.75" customHeight="1">
      <c r="A4" s="70" t="s">
        <v>144</v>
      </c>
      <c r="B4" s="76">
        <v>0.2</v>
      </c>
      <c r="C4" s="76">
        <v>0.2</v>
      </c>
      <c r="D4" s="76">
        <v>0.2</v>
      </c>
      <c r="E4" s="76">
        <v>0.2</v>
      </c>
      <c r="F4" s="76">
        <v>0.2</v>
      </c>
      <c r="G4" s="72"/>
      <c r="H4" s="73" t="s">
        <v>160</v>
      </c>
      <c r="I4" s="74">
        <v>1.25</v>
      </c>
      <c r="J4" s="74">
        <v>1.25</v>
      </c>
      <c r="K4" s="74">
        <v>1.25</v>
      </c>
      <c r="L4" s="74">
        <v>1.25</v>
      </c>
      <c r="M4" s="74">
        <v>1.25</v>
      </c>
      <c r="N4" s="74">
        <v>1.25</v>
      </c>
      <c r="O4" s="74">
        <v>1.25</v>
      </c>
      <c r="P4" s="74">
        <v>1.25</v>
      </c>
      <c r="Q4" s="74">
        <v>1.25</v>
      </c>
      <c r="R4" s="74">
        <v>1.25</v>
      </c>
    </row>
    <row r="5" spans="1:18" ht="18.75" customHeight="1">
      <c r="A5" s="70" t="s">
        <v>145</v>
      </c>
      <c r="B5" s="70">
        <f t="shared" ref="B5:F5" si="0">B4*B3</f>
        <v>0.2</v>
      </c>
      <c r="C5" s="70">
        <f t="shared" si="0"/>
        <v>0.2</v>
      </c>
      <c r="D5" s="70">
        <f t="shared" si="0"/>
        <v>0.2</v>
      </c>
      <c r="E5" s="70">
        <f t="shared" si="0"/>
        <v>0.2</v>
      </c>
      <c r="F5" s="70">
        <f t="shared" si="0"/>
        <v>0.2</v>
      </c>
      <c r="G5" s="72"/>
      <c r="H5" s="73" t="s">
        <v>161</v>
      </c>
      <c r="I5" s="74">
        <f t="shared" ref="I5:R5" si="1">B23+B27</f>
        <v>0.89999999999999991</v>
      </c>
      <c r="J5" s="74">
        <f t="shared" si="1"/>
        <v>0.75</v>
      </c>
      <c r="K5" s="74">
        <f t="shared" si="1"/>
        <v>1.05</v>
      </c>
      <c r="L5" s="74">
        <f t="shared" si="1"/>
        <v>1.2</v>
      </c>
      <c r="M5" s="74">
        <f t="shared" si="1"/>
        <v>1.05</v>
      </c>
      <c r="N5" s="74">
        <v>1.05</v>
      </c>
      <c r="O5" s="74">
        <v>1.2</v>
      </c>
      <c r="P5" s="74">
        <v>1.05</v>
      </c>
      <c r="Q5" s="74">
        <v>0.75</v>
      </c>
      <c r="R5" s="74">
        <v>0.89999999999999991</v>
      </c>
    </row>
    <row r="6" spans="1:18" ht="18.75" customHeight="1">
      <c r="A6" s="77"/>
      <c r="B6" s="78"/>
      <c r="C6" s="78"/>
      <c r="D6" s="78"/>
      <c r="E6" s="78"/>
      <c r="F6" s="78"/>
      <c r="G6" s="72"/>
      <c r="H6" s="73" t="s">
        <v>162</v>
      </c>
      <c r="I6" s="74">
        <f t="shared" ref="I6:R6" si="2">B33+B37</f>
        <v>0.1</v>
      </c>
      <c r="J6" s="74">
        <f t="shared" si="2"/>
        <v>0.1</v>
      </c>
      <c r="K6" s="74">
        <f t="shared" si="2"/>
        <v>0.1</v>
      </c>
      <c r="L6" s="74">
        <f t="shared" si="2"/>
        <v>0.1</v>
      </c>
      <c r="M6" s="74">
        <f t="shared" si="2"/>
        <v>0.1</v>
      </c>
      <c r="N6" s="74">
        <v>0.1</v>
      </c>
      <c r="O6" s="74">
        <v>0.1</v>
      </c>
      <c r="P6" s="74">
        <v>0.1</v>
      </c>
      <c r="Q6" s="74">
        <v>0.1</v>
      </c>
      <c r="R6" s="74">
        <v>0.1</v>
      </c>
    </row>
    <row r="7" spans="1:18" ht="18.75" customHeight="1">
      <c r="A7" s="94" t="s">
        <v>146</v>
      </c>
      <c r="B7" s="71">
        <v>2021</v>
      </c>
      <c r="C7" s="71">
        <v>2020</v>
      </c>
      <c r="D7" s="71">
        <v>2019</v>
      </c>
      <c r="E7" s="71">
        <v>2018</v>
      </c>
      <c r="F7" s="71">
        <v>2017</v>
      </c>
      <c r="G7" s="72"/>
      <c r="H7" s="73" t="s">
        <v>163</v>
      </c>
      <c r="I7" s="74">
        <v>0.5</v>
      </c>
      <c r="J7" s="74">
        <v>0.5</v>
      </c>
      <c r="K7" s="74">
        <v>0.5</v>
      </c>
      <c r="L7" s="74">
        <v>0.5</v>
      </c>
      <c r="M7" s="74">
        <v>0.5</v>
      </c>
      <c r="N7" s="74">
        <v>0.5</v>
      </c>
      <c r="O7" s="74">
        <v>0.5</v>
      </c>
      <c r="P7" s="74">
        <v>0.5</v>
      </c>
      <c r="Q7" s="74">
        <v>0.5</v>
      </c>
      <c r="R7" s="74">
        <v>0.5</v>
      </c>
    </row>
    <row r="8" spans="1:18" ht="18.75" customHeight="1">
      <c r="A8" s="72"/>
      <c r="B8" s="30">
        <v>5.4999999999999997E-3</v>
      </c>
      <c r="C8" s="30">
        <v>9.7999999999999997E-3</v>
      </c>
      <c r="D8" s="30">
        <v>0.01</v>
      </c>
      <c r="E8" s="30">
        <v>4.4999999999999997E-3</v>
      </c>
      <c r="F8" s="30">
        <v>6.8999999999999999E-3</v>
      </c>
      <c r="G8" s="72"/>
      <c r="H8" s="70" t="s">
        <v>147</v>
      </c>
      <c r="I8" s="70">
        <f t="shared" ref="I8:M8" si="3">SUM(I2:I7)</f>
        <v>3.15</v>
      </c>
      <c r="J8" s="70">
        <f t="shared" si="3"/>
        <v>3</v>
      </c>
      <c r="K8" s="70">
        <f t="shared" si="3"/>
        <v>3.3000000000000003</v>
      </c>
      <c r="L8" s="70">
        <f t="shared" si="3"/>
        <v>3.4499999999999997</v>
      </c>
      <c r="M8" s="70">
        <f t="shared" si="3"/>
        <v>3.3000000000000003</v>
      </c>
      <c r="N8" s="70">
        <v>3.3000000000000003</v>
      </c>
      <c r="O8" s="70">
        <v>3.4499999999999997</v>
      </c>
      <c r="P8" s="70">
        <v>3.3000000000000003</v>
      </c>
      <c r="Q8" s="70">
        <v>3</v>
      </c>
      <c r="R8" s="70">
        <v>3.15</v>
      </c>
    </row>
    <row r="9" spans="1:18" ht="18.75" customHeight="1">
      <c r="A9" s="70" t="s">
        <v>143</v>
      </c>
      <c r="B9" s="74">
        <v>1</v>
      </c>
      <c r="C9" s="74">
        <v>1</v>
      </c>
      <c r="D9" s="74">
        <v>1</v>
      </c>
      <c r="E9" s="74">
        <v>1</v>
      </c>
      <c r="F9" s="74">
        <v>1</v>
      </c>
      <c r="G9" s="72"/>
      <c r="H9" s="77"/>
      <c r="I9" s="72"/>
      <c r="J9" s="72"/>
      <c r="K9" s="72"/>
      <c r="L9" s="72"/>
      <c r="M9" s="72"/>
    </row>
    <row r="10" spans="1:18" ht="18.75" customHeight="1">
      <c r="A10" s="70" t="s">
        <v>144</v>
      </c>
      <c r="B10" s="76">
        <v>0.2</v>
      </c>
      <c r="C10" s="76">
        <v>0.2</v>
      </c>
      <c r="D10" s="76">
        <v>0.2</v>
      </c>
      <c r="E10" s="76">
        <v>0.2</v>
      </c>
      <c r="F10" s="76">
        <v>0.2</v>
      </c>
      <c r="G10" s="72"/>
      <c r="H10" s="77" t="s">
        <v>148</v>
      </c>
      <c r="I10" s="77">
        <f>AVERAGE(I8:M8)</f>
        <v>3.2399999999999998</v>
      </c>
      <c r="J10" s="72"/>
      <c r="K10" s="72"/>
      <c r="L10" s="72"/>
      <c r="M10" s="72"/>
      <c r="N10" s="70">
        <f>AVERAGE(N8:R8)</f>
        <v>3.2399999999999998</v>
      </c>
    </row>
    <row r="11" spans="1:18" ht="18.75" customHeight="1">
      <c r="A11" s="70" t="s">
        <v>145</v>
      </c>
      <c r="B11" s="79">
        <f>B10*B9</f>
        <v>0.2</v>
      </c>
      <c r="C11" s="79">
        <v>0.2</v>
      </c>
      <c r="D11" s="79">
        <v>0.2</v>
      </c>
      <c r="E11" s="79">
        <v>0.2</v>
      </c>
      <c r="F11" s="79">
        <v>0.2</v>
      </c>
      <c r="G11" s="72"/>
      <c r="H11" s="72"/>
      <c r="I11" s="72"/>
      <c r="J11" s="72"/>
      <c r="K11" s="72"/>
      <c r="L11" s="72"/>
      <c r="M11" s="72"/>
    </row>
    <row r="12" spans="1:18" ht="18.75" customHeight="1">
      <c r="A12" s="77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</row>
    <row r="13" spans="1:18" ht="18.75" customHeight="1">
      <c r="A13" s="94" t="s">
        <v>149</v>
      </c>
      <c r="B13" s="71">
        <v>2021</v>
      </c>
      <c r="C13" s="71">
        <v>2020</v>
      </c>
      <c r="D13" s="71">
        <v>2019</v>
      </c>
      <c r="E13" s="71">
        <v>2018</v>
      </c>
      <c r="F13" s="71">
        <v>2017</v>
      </c>
      <c r="G13" s="72"/>
      <c r="H13" s="72"/>
      <c r="I13" s="72"/>
      <c r="J13" s="72"/>
      <c r="K13" s="72"/>
      <c r="L13" s="72"/>
      <c r="M13" s="72"/>
    </row>
    <row r="14" spans="1:18" ht="18.75" customHeight="1">
      <c r="A14" s="70"/>
      <c r="B14" s="30">
        <v>2.1631999999999998</v>
      </c>
      <c r="C14" s="30">
        <v>1.8622000000000001</v>
      </c>
      <c r="D14" s="30">
        <v>2.5983999999999998</v>
      </c>
      <c r="E14" s="30">
        <v>3.665</v>
      </c>
      <c r="F14" s="30">
        <v>2.9186999999999999</v>
      </c>
      <c r="G14" s="72"/>
      <c r="H14" s="72"/>
      <c r="I14" s="72"/>
      <c r="J14" s="72"/>
      <c r="K14" s="72"/>
      <c r="L14" s="72"/>
      <c r="M14" s="72"/>
    </row>
    <row r="15" spans="1:18" ht="18.75" customHeight="1">
      <c r="A15" s="70" t="s">
        <v>143</v>
      </c>
      <c r="B15" s="74">
        <v>5</v>
      </c>
      <c r="C15" s="74">
        <v>5</v>
      </c>
      <c r="D15" s="74">
        <v>5</v>
      </c>
      <c r="E15" s="74">
        <v>5</v>
      </c>
      <c r="F15" s="74">
        <v>5</v>
      </c>
      <c r="G15" s="72"/>
      <c r="H15" s="72"/>
      <c r="I15" s="72"/>
      <c r="J15" s="72"/>
      <c r="K15" s="72"/>
      <c r="L15" s="72"/>
      <c r="M15" s="72"/>
    </row>
    <row r="16" spans="1:18" ht="18.75" customHeight="1">
      <c r="A16" s="70" t="s">
        <v>144</v>
      </c>
      <c r="B16" s="76">
        <v>0.25</v>
      </c>
      <c r="C16" s="76">
        <v>0.25</v>
      </c>
      <c r="D16" s="76">
        <v>0.25</v>
      </c>
      <c r="E16" s="76">
        <v>0.25</v>
      </c>
      <c r="F16" s="76">
        <v>0.25</v>
      </c>
      <c r="G16" s="72"/>
      <c r="H16" s="72"/>
      <c r="I16" s="72"/>
      <c r="J16" s="72"/>
      <c r="K16" s="72"/>
      <c r="L16" s="72"/>
      <c r="M16" s="72"/>
    </row>
    <row r="17" spans="1:13" ht="18.75" customHeight="1">
      <c r="A17" s="70" t="s">
        <v>145</v>
      </c>
      <c r="B17" s="70">
        <v>1.25</v>
      </c>
      <c r="C17" s="70">
        <v>1.25</v>
      </c>
      <c r="D17" s="70">
        <v>1.25</v>
      </c>
      <c r="E17" s="70">
        <v>1.25</v>
      </c>
      <c r="F17" s="70">
        <v>1.25</v>
      </c>
      <c r="G17" s="72"/>
      <c r="H17" s="72"/>
      <c r="I17" s="72"/>
      <c r="J17" s="72"/>
      <c r="K17" s="72"/>
      <c r="L17" s="72"/>
      <c r="M17" s="72"/>
    </row>
    <row r="18" spans="1:13" ht="18.75" customHeight="1">
      <c r="A18" s="77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</row>
    <row r="19" spans="1:13" ht="18.75" customHeight="1">
      <c r="A19" s="94" t="s">
        <v>150</v>
      </c>
      <c r="B19" s="71">
        <v>2021</v>
      </c>
      <c r="C19" s="71">
        <v>2020</v>
      </c>
      <c r="D19" s="71">
        <v>2019</v>
      </c>
      <c r="E19" s="71">
        <v>2018</v>
      </c>
      <c r="F19" s="71">
        <v>2017</v>
      </c>
      <c r="G19" s="72"/>
      <c r="H19" s="72"/>
      <c r="I19" s="72"/>
      <c r="J19" s="72"/>
      <c r="K19" s="72"/>
      <c r="L19" s="72"/>
      <c r="M19" s="72"/>
    </row>
    <row r="20" spans="1:13" ht="18.75" customHeight="1">
      <c r="A20" s="70" t="s">
        <v>151</v>
      </c>
      <c r="B20" s="30">
        <v>7.7000000000000002E-3</v>
      </c>
      <c r="C20" s="30">
        <v>1.09E-2</v>
      </c>
      <c r="D20" s="30">
        <v>8.3999999999999995E-3</v>
      </c>
      <c r="E20" s="30">
        <v>6.3E-3</v>
      </c>
      <c r="F20" s="30">
        <v>7.7000000000000002E-3</v>
      </c>
      <c r="G20" s="72"/>
      <c r="H20" s="72"/>
      <c r="I20" s="72"/>
      <c r="J20" s="72"/>
      <c r="K20" s="72"/>
      <c r="L20" s="72"/>
      <c r="M20" s="72"/>
    </row>
    <row r="21" spans="1:13" ht="18.75" customHeight="1">
      <c r="A21" s="70" t="s">
        <v>143</v>
      </c>
      <c r="B21" s="74">
        <v>4</v>
      </c>
      <c r="C21" s="74">
        <v>3</v>
      </c>
      <c r="D21" s="74">
        <v>4</v>
      </c>
      <c r="E21" s="74">
        <v>5</v>
      </c>
      <c r="F21" s="74">
        <v>4</v>
      </c>
      <c r="G21" s="72"/>
      <c r="H21" s="72"/>
      <c r="I21" s="72"/>
      <c r="J21" s="72"/>
      <c r="K21" s="72"/>
      <c r="L21" s="72"/>
      <c r="M21" s="72"/>
    </row>
    <row r="22" spans="1:13" ht="18.75" customHeight="1">
      <c r="A22" s="70" t="s">
        <v>144</v>
      </c>
      <c r="B22" s="76">
        <v>0.15</v>
      </c>
      <c r="C22" s="76">
        <v>0.15</v>
      </c>
      <c r="D22" s="76">
        <v>0.15</v>
      </c>
      <c r="E22" s="76">
        <v>0.15</v>
      </c>
      <c r="F22" s="76">
        <v>0.15</v>
      </c>
      <c r="G22" s="72"/>
      <c r="H22" s="72"/>
      <c r="I22" s="72"/>
      <c r="J22" s="72"/>
      <c r="K22" s="72"/>
      <c r="L22" s="72"/>
      <c r="M22" s="72"/>
    </row>
    <row r="23" spans="1:13" ht="18.75" customHeight="1">
      <c r="A23" s="70" t="s">
        <v>145</v>
      </c>
      <c r="B23" s="70">
        <v>0.6</v>
      </c>
      <c r="C23" s="70">
        <v>0.45</v>
      </c>
      <c r="D23" s="70">
        <v>0.6</v>
      </c>
      <c r="E23" s="70">
        <v>0.75</v>
      </c>
      <c r="F23" s="70">
        <v>0.6</v>
      </c>
      <c r="G23" s="72"/>
      <c r="H23" s="72"/>
      <c r="I23" s="72"/>
      <c r="J23" s="72"/>
      <c r="K23" s="72"/>
      <c r="L23" s="72"/>
      <c r="M23" s="72"/>
    </row>
    <row r="24" spans="1:13" ht="18.75" customHeight="1">
      <c r="A24" s="70" t="s">
        <v>152</v>
      </c>
      <c r="B24" s="30">
        <v>0.1734</v>
      </c>
      <c r="C24" s="30">
        <v>0.1986</v>
      </c>
      <c r="D24" s="30">
        <v>0.16550000000000001</v>
      </c>
      <c r="E24" s="30">
        <v>0.13189999999999999</v>
      </c>
      <c r="F24" s="30">
        <v>0.15740000000000001</v>
      </c>
      <c r="G24" s="72"/>
      <c r="H24" s="72"/>
      <c r="I24" s="72"/>
      <c r="J24" s="72"/>
      <c r="K24" s="72"/>
      <c r="L24" s="72"/>
      <c r="M24" s="72"/>
    </row>
    <row r="25" spans="1:13" ht="18.75" customHeight="1">
      <c r="A25" s="70" t="s">
        <v>143</v>
      </c>
      <c r="B25" s="74">
        <v>2</v>
      </c>
      <c r="C25" s="74">
        <v>2</v>
      </c>
      <c r="D25" s="74">
        <v>3</v>
      </c>
      <c r="E25" s="74">
        <v>3</v>
      </c>
      <c r="F25" s="74">
        <v>3</v>
      </c>
      <c r="G25" s="72"/>
      <c r="H25" s="72"/>
      <c r="I25" s="72"/>
      <c r="J25" s="72"/>
      <c r="K25" s="72"/>
      <c r="L25" s="72"/>
      <c r="M25" s="72"/>
    </row>
    <row r="26" spans="1:13" ht="18.75" customHeight="1">
      <c r="A26" s="70" t="s">
        <v>144</v>
      </c>
      <c r="B26" s="76">
        <v>0.15</v>
      </c>
      <c r="C26" s="76">
        <v>0.15</v>
      </c>
      <c r="D26" s="76">
        <v>0.15</v>
      </c>
      <c r="E26" s="76">
        <v>0.15</v>
      </c>
      <c r="F26" s="76">
        <v>0.15</v>
      </c>
      <c r="G26" s="72"/>
      <c r="H26" s="72"/>
      <c r="I26" s="72"/>
      <c r="J26" s="72"/>
      <c r="K26" s="72"/>
      <c r="L26" s="72"/>
      <c r="M26" s="72"/>
    </row>
    <row r="27" spans="1:13" ht="18.75" customHeight="1">
      <c r="A27" s="70" t="s">
        <v>145</v>
      </c>
      <c r="B27" s="70">
        <v>0.3</v>
      </c>
      <c r="C27" s="70">
        <v>0.3</v>
      </c>
      <c r="D27" s="70">
        <v>0.45</v>
      </c>
      <c r="E27" s="70">
        <v>0.45</v>
      </c>
      <c r="F27" s="70">
        <v>0.45</v>
      </c>
      <c r="G27" s="72"/>
      <c r="H27" s="72"/>
      <c r="I27" s="72"/>
      <c r="J27" s="72"/>
      <c r="K27" s="72"/>
      <c r="L27" s="72"/>
      <c r="M27" s="72"/>
    </row>
    <row r="28" spans="1:13" ht="18.75" customHeight="1">
      <c r="A28" s="77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</row>
    <row r="29" spans="1:13" ht="18.75" customHeight="1">
      <c r="A29" s="94" t="s">
        <v>153</v>
      </c>
      <c r="B29" s="71">
        <v>2021</v>
      </c>
      <c r="C29" s="71">
        <v>2020</v>
      </c>
      <c r="D29" s="71">
        <v>2019</v>
      </c>
      <c r="E29" s="71">
        <v>2018</v>
      </c>
      <c r="F29" s="71">
        <v>2017</v>
      </c>
      <c r="G29" s="72"/>
      <c r="H29" s="72"/>
      <c r="I29" s="72"/>
      <c r="J29" s="72"/>
      <c r="K29" s="72"/>
      <c r="L29" s="72"/>
      <c r="M29" s="72"/>
    </row>
    <row r="30" spans="1:13" ht="18.75" customHeight="1">
      <c r="A30" s="70" t="s">
        <v>154</v>
      </c>
      <c r="B30" s="30">
        <v>0.4703</v>
      </c>
      <c r="C30" s="30">
        <v>0.49969999999999998</v>
      </c>
      <c r="D30" s="30">
        <v>0.54900000000000004</v>
      </c>
      <c r="E30" s="30">
        <v>0.59809999999999997</v>
      </c>
      <c r="F30" s="30">
        <v>0.49199999999999999</v>
      </c>
      <c r="G30" s="72"/>
      <c r="H30" s="72"/>
      <c r="I30" s="72"/>
      <c r="J30" s="72"/>
      <c r="K30" s="72"/>
      <c r="L30" s="72"/>
      <c r="M30" s="72"/>
    </row>
    <row r="31" spans="1:13" ht="18.75" customHeight="1">
      <c r="A31" s="70" t="s">
        <v>143</v>
      </c>
      <c r="B31" s="74">
        <v>1</v>
      </c>
      <c r="C31" s="74">
        <v>1</v>
      </c>
      <c r="D31" s="74">
        <v>1</v>
      </c>
      <c r="E31" s="74">
        <v>1</v>
      </c>
      <c r="F31" s="74">
        <v>1</v>
      </c>
      <c r="G31" s="72"/>
      <c r="H31" s="72"/>
      <c r="I31" s="72"/>
      <c r="J31" s="72"/>
      <c r="K31" s="72"/>
      <c r="L31" s="72"/>
      <c r="M31" s="72"/>
    </row>
    <row r="32" spans="1:13" ht="18.75" customHeight="1">
      <c r="A32" s="70" t="s">
        <v>144</v>
      </c>
      <c r="B32" s="76">
        <v>0.05</v>
      </c>
      <c r="C32" s="76">
        <v>0.05</v>
      </c>
      <c r="D32" s="76">
        <v>0.05</v>
      </c>
      <c r="E32" s="76">
        <v>0.05</v>
      </c>
      <c r="F32" s="76">
        <v>0.05</v>
      </c>
      <c r="G32" s="72"/>
      <c r="H32" s="72"/>
      <c r="I32" s="72"/>
      <c r="J32" s="72"/>
      <c r="K32" s="72"/>
      <c r="L32" s="72"/>
      <c r="M32" s="72"/>
    </row>
    <row r="33" spans="1:13" ht="18.75" customHeight="1">
      <c r="A33" s="70" t="s">
        <v>145</v>
      </c>
      <c r="B33" s="70">
        <v>0.05</v>
      </c>
      <c r="C33" s="70">
        <v>0.05</v>
      </c>
      <c r="D33" s="70">
        <v>0.05</v>
      </c>
      <c r="E33" s="70">
        <v>0.05</v>
      </c>
      <c r="F33" s="70">
        <v>0.05</v>
      </c>
      <c r="G33" s="72"/>
      <c r="H33" s="72"/>
      <c r="I33" s="72"/>
      <c r="J33" s="72"/>
      <c r="K33" s="72"/>
      <c r="L33" s="72"/>
      <c r="M33" s="72"/>
    </row>
    <row r="34" spans="1:13" ht="18.75" customHeight="1">
      <c r="A34" s="70" t="s">
        <v>155</v>
      </c>
      <c r="B34" s="30">
        <f>477673022/1259328610</f>
        <v>0.37930768681575494</v>
      </c>
      <c r="C34" s="30">
        <f>395416055/992886661</f>
        <v>0.39824893467875888</v>
      </c>
      <c r="D34" s="30">
        <f>372913863/833433027</f>
        <v>0.44744310690725725</v>
      </c>
      <c r="E34" s="30">
        <f>343107147/706451322</f>
        <v>0.48567698341712495</v>
      </c>
      <c r="F34" s="30">
        <f>258693086/662610675</f>
        <v>0.39041490842265708</v>
      </c>
      <c r="G34" s="72"/>
      <c r="H34" s="72"/>
      <c r="I34" s="72"/>
      <c r="J34" s="72"/>
      <c r="K34" s="72"/>
      <c r="L34" s="72"/>
      <c r="M34" s="72"/>
    </row>
    <row r="35" spans="1:13" ht="18.75" customHeight="1">
      <c r="A35" s="70" t="s">
        <v>143</v>
      </c>
      <c r="B35" s="74">
        <v>1</v>
      </c>
      <c r="C35" s="74">
        <v>1</v>
      </c>
      <c r="D35" s="74">
        <v>1</v>
      </c>
      <c r="E35" s="74">
        <v>1</v>
      </c>
      <c r="F35" s="74">
        <v>1</v>
      </c>
      <c r="G35" s="72"/>
      <c r="H35" s="72"/>
      <c r="I35" s="72"/>
      <c r="J35" s="72"/>
      <c r="K35" s="72"/>
      <c r="L35" s="72"/>
      <c r="M35" s="72"/>
    </row>
    <row r="36" spans="1:13" ht="18.75" customHeight="1">
      <c r="A36" s="70" t="s">
        <v>144</v>
      </c>
      <c r="B36" s="76">
        <v>0.05</v>
      </c>
      <c r="C36" s="76">
        <v>0.05</v>
      </c>
      <c r="D36" s="76">
        <v>0.05</v>
      </c>
      <c r="E36" s="76">
        <v>0.05</v>
      </c>
      <c r="F36" s="76">
        <v>0.05</v>
      </c>
      <c r="G36" s="72"/>
      <c r="H36" s="72"/>
      <c r="I36" s="72"/>
      <c r="J36" s="72"/>
      <c r="K36" s="72"/>
      <c r="L36" s="72"/>
      <c r="M36" s="72"/>
    </row>
    <row r="37" spans="1:13" ht="18.75" customHeight="1">
      <c r="A37" s="70" t="s">
        <v>145</v>
      </c>
      <c r="B37" s="70">
        <v>0.05</v>
      </c>
      <c r="C37" s="70">
        <v>0.05</v>
      </c>
      <c r="D37" s="70">
        <v>0.05</v>
      </c>
      <c r="E37" s="70">
        <v>0.05</v>
      </c>
      <c r="F37" s="70">
        <v>0.05</v>
      </c>
      <c r="G37" s="72"/>
      <c r="H37" s="72"/>
      <c r="I37" s="72"/>
      <c r="J37" s="72"/>
      <c r="K37" s="72"/>
      <c r="L37" s="72"/>
      <c r="M37" s="72"/>
    </row>
    <row r="38" spans="1:13" ht="18.75" customHeight="1">
      <c r="A38" s="77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</row>
    <row r="39" spans="1:13" ht="18.75" customHeight="1">
      <c r="A39" s="94" t="s">
        <v>156</v>
      </c>
      <c r="B39" s="71">
        <v>2021</v>
      </c>
      <c r="C39" s="71">
        <v>2020</v>
      </c>
      <c r="D39" s="71">
        <v>2019</v>
      </c>
      <c r="E39" s="71">
        <v>2018</v>
      </c>
      <c r="F39" s="71">
        <v>2017</v>
      </c>
      <c r="G39" s="72"/>
      <c r="H39" s="72"/>
      <c r="I39" s="72"/>
      <c r="J39" s="72"/>
      <c r="K39" s="72"/>
      <c r="L39" s="72"/>
      <c r="M39" s="72"/>
    </row>
    <row r="40" spans="1:13" ht="18.75" customHeight="1">
      <c r="A40" s="70"/>
      <c r="B40" s="30">
        <v>0.48809999999999998</v>
      </c>
      <c r="C40" s="30">
        <v>0.45140000000000002</v>
      </c>
      <c r="D40" s="30">
        <v>0.3649</v>
      </c>
      <c r="E40" s="30">
        <v>0.3669</v>
      </c>
      <c r="F40" s="30">
        <v>0.47199999999999998</v>
      </c>
      <c r="G40" s="72"/>
      <c r="H40" s="72"/>
      <c r="I40" s="72"/>
      <c r="J40" s="72"/>
      <c r="K40" s="72"/>
      <c r="L40" s="72"/>
      <c r="M40" s="72"/>
    </row>
    <row r="41" spans="1:13" ht="18.75" customHeight="1">
      <c r="A41" s="70" t="s">
        <v>143</v>
      </c>
      <c r="B41" s="74">
        <v>5</v>
      </c>
      <c r="C41" s="74">
        <v>5</v>
      </c>
      <c r="D41" s="74">
        <v>5</v>
      </c>
      <c r="E41" s="74">
        <v>5</v>
      </c>
      <c r="F41" s="74">
        <v>5</v>
      </c>
      <c r="G41" s="72"/>
      <c r="H41" s="72"/>
      <c r="I41" s="72"/>
      <c r="J41" s="72"/>
      <c r="K41" s="72"/>
      <c r="L41" s="72"/>
      <c r="M41" s="72"/>
    </row>
    <row r="42" spans="1:13" ht="18.75" customHeight="1">
      <c r="A42" s="70" t="s">
        <v>144</v>
      </c>
      <c r="B42" s="76">
        <v>0.1</v>
      </c>
      <c r="C42" s="76">
        <v>0.1</v>
      </c>
      <c r="D42" s="76">
        <v>0.1</v>
      </c>
      <c r="E42" s="76">
        <v>0.1</v>
      </c>
      <c r="F42" s="76">
        <v>0.1</v>
      </c>
      <c r="G42" s="72"/>
      <c r="H42" s="72"/>
      <c r="I42" s="72"/>
      <c r="J42" s="72"/>
      <c r="K42" s="72"/>
      <c r="L42" s="72"/>
      <c r="M42" s="72"/>
    </row>
    <row r="43" spans="1:13" ht="18.75" customHeight="1">
      <c r="A43" s="70" t="s">
        <v>145</v>
      </c>
      <c r="B43" s="70">
        <v>0.5</v>
      </c>
      <c r="C43" s="70">
        <v>0.5</v>
      </c>
      <c r="D43" s="70">
        <v>0.5</v>
      </c>
      <c r="E43" s="70">
        <v>0.5</v>
      </c>
      <c r="F43" s="70">
        <v>0.5</v>
      </c>
      <c r="G43" s="72"/>
      <c r="H43" s="72"/>
      <c r="I43" s="72"/>
      <c r="J43" s="72"/>
      <c r="K43" s="72"/>
      <c r="L43" s="72"/>
      <c r="M43" s="72"/>
    </row>
    <row r="44" spans="1:13" ht="18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</row>
    <row r="45" spans="1:13" ht="18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</row>
    <row r="46" spans="1:13" ht="18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</row>
    <row r="47" spans="1:13" ht="18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</row>
    <row r="48" spans="1:13" ht="18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</row>
    <row r="49" spans="1:13" ht="18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</row>
    <row r="50" spans="1:13" ht="18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</row>
    <row r="51" spans="1:13" ht="18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</row>
    <row r="52" spans="1:13" ht="18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</row>
    <row r="53" spans="1:13" ht="18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</row>
    <row r="54" spans="1:13" ht="18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</row>
    <row r="55" spans="1:13" ht="18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</row>
    <row r="56" spans="1:13" ht="18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</row>
    <row r="57" spans="1:13" ht="18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</row>
    <row r="58" spans="1:13" ht="18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</row>
    <row r="59" spans="1:13" ht="18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</row>
    <row r="60" spans="1:13" ht="18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</row>
    <row r="61" spans="1:13" ht="18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</row>
    <row r="62" spans="1:13" ht="18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</row>
    <row r="63" spans="1:13" ht="18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</row>
    <row r="64" spans="1:13" ht="18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</row>
    <row r="65" spans="1:13" ht="18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</row>
    <row r="66" spans="1:13" ht="18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</row>
    <row r="67" spans="1:13" ht="18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</row>
    <row r="68" spans="1:13" ht="18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</row>
    <row r="69" spans="1:13" ht="18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</row>
    <row r="70" spans="1:13" ht="18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</row>
    <row r="71" spans="1:13" ht="18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</row>
    <row r="72" spans="1:13" ht="18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</row>
    <row r="73" spans="1:13" ht="18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</row>
    <row r="74" spans="1:13" ht="18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</row>
    <row r="75" spans="1:13" ht="18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spans="1:13" ht="18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</row>
    <row r="77" spans="1:13" ht="18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</row>
    <row r="78" spans="1:13" ht="18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</row>
    <row r="79" spans="1:13" ht="18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</row>
    <row r="80" spans="1:13" ht="18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</row>
    <row r="81" spans="1:13" ht="18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</row>
    <row r="82" spans="1:13" ht="18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</row>
    <row r="83" spans="1:13" ht="18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</row>
    <row r="84" spans="1:13" ht="18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</row>
    <row r="85" spans="1:13" ht="18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</row>
    <row r="86" spans="1:13" ht="18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</row>
    <row r="87" spans="1:13" ht="18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</row>
    <row r="88" spans="1:13" ht="18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</row>
    <row r="89" spans="1:13" ht="18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</row>
    <row r="90" spans="1:13" ht="18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</row>
    <row r="91" spans="1:13" ht="18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</row>
    <row r="92" spans="1:13" ht="18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</row>
    <row r="93" spans="1:13" ht="18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</row>
    <row r="94" spans="1:13" ht="18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</row>
    <row r="95" spans="1:13" ht="18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</row>
    <row r="96" spans="1:13" ht="18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</row>
    <row r="97" spans="1:13" ht="18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</row>
    <row r="98" spans="1:13" ht="18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</row>
    <row r="99" spans="1:13" ht="18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</row>
    <row r="100" spans="1:13" ht="18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</row>
  </sheetData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"/>
  <sheetViews>
    <sheetView workbookViewId="0"/>
  </sheetViews>
  <sheetFormatPr defaultColWidth="14.42578125" defaultRowHeight="15" customHeight="1"/>
  <cols>
    <col min="1" max="1" width="47.140625" customWidth="1"/>
    <col min="2" max="2" width="16.7109375" customWidth="1"/>
    <col min="3" max="6" width="15.7109375" customWidth="1"/>
    <col min="7" max="12" width="8.7109375" customWidth="1"/>
  </cols>
  <sheetData>
    <row r="1" spans="1:6">
      <c r="A1" t="s">
        <v>89</v>
      </c>
      <c r="B1">
        <v>2021</v>
      </c>
      <c r="C1">
        <v>2020</v>
      </c>
      <c r="D1">
        <v>2019</v>
      </c>
      <c r="E1">
        <v>2018</v>
      </c>
      <c r="F1">
        <v>2017</v>
      </c>
    </row>
    <row r="2" spans="1:6">
      <c r="A2" t="s">
        <v>90</v>
      </c>
    </row>
    <row r="3" spans="1:6">
      <c r="A3" t="s">
        <v>91</v>
      </c>
      <c r="B3" s="34">
        <v>2.0145322434150774</v>
      </c>
      <c r="C3" s="34">
        <v>1.8503634031637453</v>
      </c>
      <c r="D3" s="34">
        <v>1.8085221143473571</v>
      </c>
      <c r="E3" s="34">
        <v>1.1116220735785953</v>
      </c>
      <c r="F3" s="34">
        <v>1.332988089073019</v>
      </c>
    </row>
    <row r="4" spans="1:6" hidden="1">
      <c r="A4" t="s">
        <v>92</v>
      </c>
      <c r="B4" s="34">
        <v>22.02</v>
      </c>
      <c r="C4" s="34">
        <v>23.39</v>
      </c>
      <c r="D4" s="34">
        <v>18.54</v>
      </c>
      <c r="E4" s="34">
        <v>23.92</v>
      </c>
      <c r="F4" s="34">
        <v>19.309999999999999</v>
      </c>
    </row>
    <row r="5" spans="1:6" hidden="1">
      <c r="A5" t="s">
        <v>93</v>
      </c>
      <c r="B5" s="34">
        <v>1260260180</v>
      </c>
      <c r="C5" s="34">
        <v>1260260180</v>
      </c>
      <c r="D5" s="34">
        <v>1260260180</v>
      </c>
      <c r="E5" s="34">
        <v>1260260180</v>
      </c>
      <c r="F5" s="34">
        <v>1260260180</v>
      </c>
    </row>
    <row r="6" spans="1:6" hidden="1">
      <c r="A6" t="s">
        <v>94</v>
      </c>
      <c r="B6" s="34">
        <v>44.36</v>
      </c>
      <c r="C6" s="34">
        <v>43.28</v>
      </c>
      <c r="D6" s="34">
        <v>33.53</v>
      </c>
      <c r="E6" s="34">
        <v>26.59</v>
      </c>
      <c r="F6" s="34">
        <v>25.74</v>
      </c>
    </row>
    <row r="7" spans="1:6">
      <c r="A7" t="s">
        <v>95</v>
      </c>
      <c r="B7" s="34"/>
      <c r="C7" s="34"/>
      <c r="D7" s="34"/>
      <c r="E7" s="34"/>
      <c r="F7" s="34"/>
    </row>
    <row r="8" spans="1:6">
      <c r="A8" t="s">
        <v>96</v>
      </c>
      <c r="B8" s="34">
        <v>1.3176955341044831</v>
      </c>
      <c r="C8" s="34">
        <v>1.0580940899831748</v>
      </c>
      <c r="D8" s="34">
        <v>1.0312515352074776</v>
      </c>
      <c r="E8" s="34">
        <v>1.0721448468924104</v>
      </c>
      <c r="F8" s="34">
        <v>1.0173813192532266</v>
      </c>
    </row>
    <row r="9" spans="1:6" hidden="1">
      <c r="A9" t="s">
        <v>97</v>
      </c>
      <c r="B9" s="34">
        <v>1222420697</v>
      </c>
      <c r="C9" s="34">
        <v>956675071</v>
      </c>
      <c r="D9" s="34">
        <v>786642860</v>
      </c>
      <c r="E9" s="34">
        <v>667452221</v>
      </c>
      <c r="F9" s="34">
        <v>633359777</v>
      </c>
    </row>
    <row r="10" spans="1:6">
      <c r="A10" t="s">
        <v>98</v>
      </c>
      <c r="B10" s="34">
        <v>927695864</v>
      </c>
      <c r="C10" s="34">
        <v>904149338</v>
      </c>
      <c r="D10" s="34">
        <v>762804062</v>
      </c>
      <c r="E10" s="34">
        <v>622539224</v>
      </c>
      <c r="F10" s="34">
        <v>622539224</v>
      </c>
    </row>
    <row r="11" spans="1:6">
      <c r="A11" t="s">
        <v>99</v>
      </c>
      <c r="B11" s="34">
        <v>0.60150352363038317</v>
      </c>
      <c r="C11" s="34">
        <v>0.95457933838650033</v>
      </c>
      <c r="D11" s="34">
        <v>0.57388256878498511</v>
      </c>
      <c r="E11" s="34">
        <v>0.54748613552497316</v>
      </c>
      <c r="F11" s="34">
        <v>0.54793223807334746</v>
      </c>
    </row>
    <row r="12" spans="1:6" hidden="1">
      <c r="A12" t="s">
        <v>101</v>
      </c>
      <c r="B12" s="34">
        <v>610784723000</v>
      </c>
      <c r="C12" s="34">
        <v>755250763000</v>
      </c>
      <c r="D12" s="34">
        <v>389838134000</v>
      </c>
      <c r="E12" s="34">
        <v>314057678000</v>
      </c>
      <c r="F12" s="34">
        <v>288107323000</v>
      </c>
    </row>
    <row r="13" spans="1:6" hidden="1">
      <c r="A13" t="s">
        <v>102</v>
      </c>
      <c r="B13" s="34">
        <v>1015430000000</v>
      </c>
      <c r="C13" s="34">
        <v>791187000000</v>
      </c>
      <c r="D13" s="34">
        <v>679299486000</v>
      </c>
      <c r="E13" s="34">
        <v>573635856000</v>
      </c>
      <c r="F13" s="34">
        <v>525808308000</v>
      </c>
    </row>
    <row r="14" spans="1:6">
      <c r="A14" t="s">
        <v>103</v>
      </c>
      <c r="B14" s="34">
        <v>2.8597402597402595</v>
      </c>
      <c r="C14" s="34">
        <v>2.7292882147024504</v>
      </c>
      <c r="D14" s="34">
        <v>3.328545780969479</v>
      </c>
      <c r="E14" s="34">
        <v>6.7954545454545459</v>
      </c>
      <c r="F14" s="34">
        <v>4.6196172248803826</v>
      </c>
    </row>
    <row r="15" spans="1:6" hidden="1">
      <c r="A15" t="s">
        <v>104</v>
      </c>
      <c r="B15">
        <v>22.02</v>
      </c>
      <c r="C15">
        <v>23.39</v>
      </c>
      <c r="D15">
        <v>18.54</v>
      </c>
      <c r="E15">
        <v>23.92</v>
      </c>
      <c r="F15">
        <v>19.309999999999999</v>
      </c>
    </row>
    <row r="16" spans="1:6" hidden="1">
      <c r="A16" t="s">
        <v>105</v>
      </c>
      <c r="B16">
        <v>7.7</v>
      </c>
      <c r="C16">
        <v>8.57</v>
      </c>
      <c r="D16">
        <v>5.57</v>
      </c>
      <c r="E16">
        <v>3.52</v>
      </c>
      <c r="F16">
        <v>4.18</v>
      </c>
    </row>
    <row r="21" spans="12:12" ht="15.75" customHeight="1"/>
    <row r="22" spans="12:12" ht="15.75" customHeight="1"/>
    <row r="23" spans="12:12" ht="15.75" customHeight="1">
      <c r="L23" s="38"/>
    </row>
    <row r="24" spans="12:12" ht="15.75" customHeight="1"/>
    <row r="25" spans="12:12" ht="15.75" customHeight="1"/>
    <row r="26" spans="12:12" ht="15.75" customHeight="1"/>
    <row r="27" spans="12:12" ht="15.75" customHeight="1"/>
    <row r="28" spans="12:12" ht="15.75" customHeight="1"/>
    <row r="29" spans="12:12" ht="15.75" customHeight="1"/>
    <row r="30" spans="12:12" ht="15.75" customHeight="1"/>
    <row r="31" spans="12:12" ht="15.75" customHeight="1"/>
    <row r="32" spans="12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Balance Sheet</vt:lpstr>
      <vt:lpstr>Income Statement</vt:lpstr>
      <vt:lpstr>Profitability Ratio</vt:lpstr>
      <vt:lpstr>Risk Ratios</vt:lpstr>
      <vt:lpstr>CAMELS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2022-04-14T06:22:38Z</dcterms:modified>
</cp:coreProperties>
</file>