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4\Downloads\"/>
    </mc:Choice>
  </mc:AlternateContent>
  <xr:revisionPtr revIDLastSave="0" documentId="13_ncr:1_{0011AC78-44BC-4978-9122-C06CE57E0A4D}" xr6:coauthVersionLast="47" xr6:coauthVersionMax="47" xr10:uidLastSave="{00000000-0000-0000-0000-000000000000}"/>
  <bookViews>
    <workbookView xWindow="-120" yWindow="-120" windowWidth="29040" windowHeight="15990" activeTab="7" xr2:uid="{00000000-000D-0000-FFFF-FFFF00000000}"/>
  </bookViews>
  <sheets>
    <sheet name="Ind avg" sheetId="1" r:id="rId1"/>
    <sheet name="Balance Sheet" sheetId="2" r:id="rId2"/>
    <sheet name="Income Statement" sheetId="3" r:id="rId3"/>
    <sheet name="Sheet1 (2)" sheetId="4" state="hidden" r:id="rId4"/>
    <sheet name="Profitability Ratios" sheetId="5" r:id="rId5"/>
    <sheet name="Risk Ratios" sheetId="6" r:id="rId6"/>
    <sheet name="CAMELS" sheetId="7" r:id="rId7"/>
    <sheet name="Graphs" sheetId="8" r:id="rId8"/>
  </sheets>
  <calcPr calcId="0"/>
</workbook>
</file>

<file path=xl/sharedStrings.xml><?xml version="1.0" encoding="utf-8"?>
<sst xmlns="http://schemas.openxmlformats.org/spreadsheetml/2006/main" count="478" uniqueCount="272">
  <si>
    <t>INDUSTRY COMPARISON</t>
  </si>
  <si>
    <t>BOP</t>
  </si>
  <si>
    <t>ASKARI</t>
  </si>
  <si>
    <t>METRO</t>
  </si>
  <si>
    <t>STANDARD CHARTERED</t>
  </si>
  <si>
    <t>FAYSAL</t>
  </si>
  <si>
    <t>JS BANK</t>
  </si>
  <si>
    <t>AVERAGE OF MEDIUM BANKS</t>
  </si>
  <si>
    <t>CY20</t>
  </si>
  <si>
    <t>1QCY21</t>
  </si>
  <si>
    <t>PROFIT BEFORE TAX</t>
  </si>
  <si>
    <t>PROFIT AFTER TAX</t>
  </si>
  <si>
    <t>ROE</t>
  </si>
  <si>
    <t xml:space="preserve">ADVANCES </t>
  </si>
  <si>
    <t>DEPOSITS</t>
  </si>
  <si>
    <t>NPLS</t>
  </si>
  <si>
    <t>CAR</t>
  </si>
  <si>
    <t>INDUSTRY AVERAGE</t>
  </si>
  <si>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</si>
  <si>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</si>
  <si>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</si>
  <si>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</si>
  <si>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</si>
  <si>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</si>
  <si>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</si>
  <si>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</si>
  <si>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</si>
  <si>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</si>
  <si>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</si>
  <si>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</si>
  <si>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</si>
  <si>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</si>
  <si>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</si>
  <si>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</si>
  <si>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</si>
  <si>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</si>
  <si>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</si>
  <si>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</si>
  <si>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</si>
  <si>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</si>
  <si>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</si>
  <si>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</si>
  <si>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</si>
  <si>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</si>
  <si>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</si>
  <si>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</si>
  <si>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</si>
  <si>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</si>
  <si>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</si>
  <si>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</si>
  <si>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</si>
  <si>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>Equity Capital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</si>
  <si>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</si>
  <si>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</si>
  <si>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</si>
  <si>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</si>
  <si>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</si>
  <si>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</si>
  <si>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</si>
  <si>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</si>
  <si>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</si>
  <si>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</si>
  <si>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</si>
  <si>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</si>
  <si>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</si>
  <si>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</si>
  <si>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</si>
  <si>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</si>
  <si>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</si>
  <si>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</si>
  <si>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</si>
  <si>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</si>
  <si>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</si>
  <si>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</si>
  <si>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</si>
  <si>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</si>
  <si>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</si>
  <si>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</si>
  <si>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</si>
  <si>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</si>
  <si>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</si>
  <si>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</si>
  <si>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</si>
  <si>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</si>
  <si>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</si>
  <si>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</si>
  <si>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</si>
  <si>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</si>
  <si>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</si>
  <si>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</si>
  <si>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</si>
  <si>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</si>
  <si>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</si>
  <si>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</si>
  <si>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</si>
  <si>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</si>
  <si>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</si>
  <si>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</si>
  <si>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</si>
  <si>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</si>
  <si>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</si>
  <si>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</si>
  <si>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</si>
  <si>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</si>
  <si>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</si>
  <si>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</si>
  <si>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</si>
  <si>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</si>
  <si>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</si>
  <si>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</si>
  <si>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</si>
  <si>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</si>
  <si>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</si>
  <si>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</si>
  <si>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</si>
  <si>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</si>
  <si>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</si>
  <si>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</si>
  <si>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</si>
  <si>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</si>
  <si>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</si>
  <si>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</si>
  <si>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</si>
  <si>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</si>
  <si>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1. Capital Adequecy Ratio</t>
  </si>
  <si>
    <t>Earnings Per Share</t>
  </si>
  <si>
    <t>Ratios</t>
  </si>
  <si>
    <t xml:space="preserve">Income /expense ratio </t>
  </si>
  <si>
    <t>T</t>
  </si>
  <si>
    <t>ROE = NI/ Equity</t>
  </si>
  <si>
    <t>U</t>
  </si>
  <si>
    <t>ROA= NI/TA</t>
  </si>
  <si>
    <t>Gross spread ratio (NIM/Gross interest income)</t>
  </si>
  <si>
    <t>Net Interest Margin</t>
  </si>
  <si>
    <t>J</t>
  </si>
  <si>
    <t>Net non Interest Margin</t>
  </si>
  <si>
    <t>NOM(Net Operating Margin)=(TOR-TOE)/Total Assets</t>
  </si>
  <si>
    <t>A</t>
  </si>
  <si>
    <t>Earning Spread</t>
  </si>
  <si>
    <t>Total Interest Income</t>
  </si>
  <si>
    <t>Total Earning Asset</t>
  </si>
  <si>
    <t>Total Interest Expense</t>
  </si>
  <si>
    <t>Net Profit Margin = NI/ Total Operating Revenue</t>
  </si>
  <si>
    <t>Equity Multiplier =TA/Equity</t>
  </si>
  <si>
    <t>Asset Utilization= Total operating Revenue/TA</t>
  </si>
  <si>
    <t xml:space="preserve">Operating efficiency= Total operating expenses/ Total operating revenues </t>
  </si>
  <si>
    <t>Tax management effeciency = NI/EBT</t>
  </si>
  <si>
    <t>Z</t>
  </si>
  <si>
    <t>Asset management effeciency = Total operating revenue/Total assets</t>
  </si>
  <si>
    <t>Interest Rate Risk Measures</t>
  </si>
  <si>
    <t>Interest Sensitive Assets/ Interest Sensitive Liabilities</t>
  </si>
  <si>
    <t>Abd</t>
  </si>
  <si>
    <t>Uninsured Deposits/Total Deposits</t>
  </si>
  <si>
    <t>Capital Risk Measures</t>
  </si>
  <si>
    <t>Stock Price / Earnings Per Share</t>
  </si>
  <si>
    <t>Equity Capital/Total Assets</t>
  </si>
  <si>
    <t>Net Loans/Total Assets</t>
  </si>
  <si>
    <t xml:space="preserve">Net Loans </t>
  </si>
  <si>
    <t>Cash and Due From Banks/Total Assets</t>
  </si>
  <si>
    <t>Cash and Due From Banks</t>
  </si>
  <si>
    <t>Cash and Government Securities/Total Assets</t>
  </si>
  <si>
    <t>Cash and Government Securities</t>
  </si>
  <si>
    <t>Credit Risk Measures</t>
  </si>
  <si>
    <t>Provision for loan losses/ Equity Capital</t>
  </si>
  <si>
    <t>Provision for loan losses/ Total Loans</t>
  </si>
  <si>
    <t>Allowance for loan losses/ Total Loans</t>
  </si>
  <si>
    <t>Total Loans</t>
  </si>
  <si>
    <t>Other goals in banking</t>
  </si>
  <si>
    <t>employee productivity ratio (net income /no of emplyee)</t>
  </si>
  <si>
    <t>Capital risk measure</t>
  </si>
  <si>
    <t>Purchased funds/Total liabilties</t>
  </si>
  <si>
    <t>Equity capital /Risk Assets</t>
  </si>
  <si>
    <t>Allowance for Loan Losses / Equity Capital</t>
  </si>
  <si>
    <t>Purchased Funds</t>
  </si>
  <si>
    <t>Non Perfoming Loans / Equity Capital</t>
  </si>
  <si>
    <t>Purchased Funds / Total Assets</t>
  </si>
  <si>
    <t>7,534 7,538 7,848</t>
  </si>
  <si>
    <t>Pr</t>
  </si>
  <si>
    <t>PROFITABILITY RATIOS</t>
  </si>
  <si>
    <t>Formula</t>
  </si>
  <si>
    <t>Return on Equity (ROE)</t>
  </si>
  <si>
    <t>Net income/Total equity</t>
  </si>
  <si>
    <t>Return on Assets (ROA)</t>
  </si>
  <si>
    <t>Net income/Total Asset</t>
  </si>
  <si>
    <t>(Interest income-Interest expense)/Total Assets</t>
  </si>
  <si>
    <t>(Non interest revenue-PLLL-Non interest expense)/Total Assets</t>
  </si>
  <si>
    <t>NOM(Net Operating Margin)</t>
  </si>
  <si>
    <t>Net Operating Revenue/Total Assets</t>
  </si>
  <si>
    <t>Earning Per Share</t>
  </si>
  <si>
    <t>NI/Total Shares Outstanding</t>
  </si>
  <si>
    <t>(Total Interest Income/Total Earning Assets-Total Interest Expense/Total Interest Bearing Liability</t>
  </si>
  <si>
    <t>NPM*EM*AU</t>
  </si>
  <si>
    <t>ROA = Net Profit Margin*Asset Utilization</t>
  </si>
  <si>
    <t>Total Interest bearing liablity</t>
  </si>
  <si>
    <t xml:space="preserve">Equity Multiplier </t>
  </si>
  <si>
    <t>Total Assets/Total Equity</t>
  </si>
  <si>
    <t>Net Profit Margin</t>
  </si>
  <si>
    <t>NI/Total OP Revenues</t>
  </si>
  <si>
    <t>Asset Utilization</t>
  </si>
  <si>
    <t>Total OP Revenues/Total Assets</t>
  </si>
  <si>
    <t>Expense Control Efficiency*Tax Management Efficiency*Asset Mangement Efficiency*Funds Management Efficiency</t>
  </si>
  <si>
    <t>Tax management efficiency</t>
  </si>
  <si>
    <t>Net Income/Pre-Tax Net Operating Income</t>
  </si>
  <si>
    <t>Total Earning Assets</t>
  </si>
  <si>
    <t>Expense control efficiency</t>
  </si>
  <si>
    <t>Pre-Tax Net Operating Income/ Total Operating Revenue</t>
  </si>
  <si>
    <t>Asset management efficiency</t>
  </si>
  <si>
    <t>Total Operating Revenue/ Total Assets</t>
  </si>
  <si>
    <t>Funds management efficiency</t>
  </si>
  <si>
    <t>Total Assets/Total Equity Capital</t>
  </si>
  <si>
    <t>Interest expense</t>
  </si>
  <si>
    <t>Total expenses</t>
  </si>
  <si>
    <t>total operating revenve</t>
  </si>
  <si>
    <t>Credit Risk Ratios</t>
  </si>
  <si>
    <t>Liquidity Risk Measures</t>
  </si>
  <si>
    <t>Market Risk Measures</t>
  </si>
  <si>
    <t>Non Performing Loans</t>
  </si>
  <si>
    <t>Interest Sensitive Assets</t>
  </si>
  <si>
    <t>Interest Sensitive Liabilities</t>
  </si>
  <si>
    <t>Provisions and write offs - net (Charge Offs)</t>
  </si>
  <si>
    <t>Proviison for Loan Losses</t>
  </si>
  <si>
    <t>Stock Price</t>
  </si>
  <si>
    <t>Allowance for loan losses</t>
  </si>
  <si>
    <t>Book Value of Equity</t>
  </si>
  <si>
    <t>No of Employees</t>
  </si>
  <si>
    <t>Market Value of Equity</t>
  </si>
  <si>
    <t>Interest Sensitive Assets/Interest Sensitive Liabilities</t>
  </si>
  <si>
    <t>Capital Adequacy</t>
  </si>
  <si>
    <t>Other Goals in Banking</t>
  </si>
  <si>
    <t>Operating Efficieny ratio</t>
  </si>
  <si>
    <t>Employee productivity ratio</t>
  </si>
  <si>
    <t>Book value of assets</t>
  </si>
  <si>
    <t>Market value of assets</t>
  </si>
  <si>
    <t>-----------</t>
  </si>
  <si>
    <t>1. Capital Adequacy</t>
  </si>
  <si>
    <t>CAMELS</t>
  </si>
  <si>
    <t>Rank</t>
  </si>
  <si>
    <t>Asset Quality</t>
  </si>
  <si>
    <t>Weight</t>
  </si>
  <si>
    <t>Management</t>
  </si>
  <si>
    <t>Rank x Weight</t>
  </si>
  <si>
    <t xml:space="preserve">Earnings </t>
  </si>
  <si>
    <t>Liquidity</t>
  </si>
  <si>
    <t>2. Asset Quality</t>
  </si>
  <si>
    <t>Sensitivity</t>
  </si>
  <si>
    <t>Total</t>
  </si>
  <si>
    <t>Avreage Rating</t>
  </si>
  <si>
    <t>3. Management</t>
  </si>
  <si>
    <t>Admin Exp</t>
  </si>
  <si>
    <t>NI</t>
  </si>
  <si>
    <t>-</t>
  </si>
  <si>
    <t>4. Earnings</t>
  </si>
  <si>
    <t>Unit of Mutual Funds</t>
  </si>
  <si>
    <t>1. Earnings (ROA)</t>
  </si>
  <si>
    <t>Commercial Paper</t>
  </si>
  <si>
    <t xml:space="preserve">Rank * Weight </t>
  </si>
  <si>
    <t>Total Securities</t>
  </si>
  <si>
    <t>2. Earnings (ROE)</t>
  </si>
  <si>
    <t>Rank x weight</t>
  </si>
  <si>
    <t>5. Liquidity</t>
  </si>
  <si>
    <t>advances</t>
  </si>
  <si>
    <t>1. Advances/Deposits</t>
  </si>
  <si>
    <t>total assets</t>
  </si>
  <si>
    <t xml:space="preserve">2. Circulating Assets/ Total Assets </t>
  </si>
  <si>
    <t>WORKING</t>
  </si>
  <si>
    <t>6. Sensitivity</t>
  </si>
  <si>
    <t xml:space="preserve">Rank </t>
  </si>
  <si>
    <t>Deposits</t>
  </si>
  <si>
    <t>Total non performing loans</t>
  </si>
  <si>
    <t>Provision</t>
  </si>
  <si>
    <t>DUPONT ANALYSIS</t>
  </si>
  <si>
    <t>Variation in 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</si>
</sst>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000000000"/>
    <numFmt numFmtId="166" formatCode="#,##0.000"/>
    <numFmt numFmtId="167" formatCode="0.000"/>
  </numFmts>
  <fonts count="28">
    <font>
      <sz val="11"/>
      <name val="Arial"/>
    </font>
    <font>
      <sz val="11"/>
      <name val="Calibri"/>
    </font>
    <font>
      <b/>
      <sz val="10"/>
      <color rgb="FF000000"/>
      <name val="Arial"/>
    </font>
    <font>
      <b/>
      <sz val="10"/>
      <name val="Arial"/>
    </font>
    <font>
      <sz val="10"/>
      <color rgb="FF000000"/>
      <name val="Arial"/>
    </font>
    <font>
      <sz val="10"/>
      <name val="Arial"/>
    </font>
    <font>
      <b/>
      <sz val="11"/>
      <name val="Calibri"/>
    </font>
    <font>
      <sz val="11"/>
      <name val="Calibri"/>
    </font>
    <font>
      <b/>
      <sz val="11"/>
      <color indexed="0"/>
      <name val="Calibri"/>
    </font>
    <font>
      <sz val="11"/>
      <color indexed="0"/>
      <name val="Calibri"/>
    </font>
    <font>
      <sz val="11"/>
      <color rgb="FF000000"/>
      <name val="Inconsolata"/>
    </font>
    <font>
      <sz val="11"/>
      <color rgb="FF000000"/>
      <name val="Roboto"/>
    </font>
    <font>
      <sz val="11"/>
      <color rgb="FF000000"/>
      <name val="Calibri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48"/>
      <color indexed="0"/>
      <name val="Calibri"/>
    </font>
    <font>
      <sz val="10"/>
      <name val="Calibri"/>
    </font>
    <font>
      <b/>
      <sz val="10"/>
      <name val="Calibri"/>
    </font>
    <font>
      <sz val="14"/>
      <name val="Calibri"/>
    </font>
    <font>
      <b/>
      <sz val="18"/>
      <color indexed="0"/>
      <name val="Calibri"/>
    </font>
    <font>
      <b/>
      <sz val="18"/>
      <name val="Calibri"/>
    </font>
    <font>
      <b/>
      <sz val="14"/>
      <color rgb="FFE36C09"/>
      <name val="Calibri"/>
    </font>
    <font>
      <b/>
      <sz val="14"/>
      <name val="Calibri"/>
    </font>
    <font>
      <b/>
      <sz val="14"/>
      <color indexed="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sz val="11"/>
      <color indexed="8"/>
      <name val="Arial"/>
    </font>
    <font>
      <b/>
      <sz val="18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rgb="FFDBE5F1"/>
        <bgColor rgb="FFDBE5F1"/>
      </patternFill>
    </fill>
    <fill>
      <patternFill patternType="solid">
        <fgColor rgb="FFF2DCDB"/>
      </patternFill>
    </fill>
    <fill>
      <patternFill patternType="solid">
        <fgColor rgb="FFDCE5F1"/>
      </patternFill>
    </fill>
    <fill>
      <patternFill patternType="solid">
        <fgColor rgb="FFEAF1D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>
      <alignment vertical="center"/>
    </xf>
    <xf numFmtId="0" fontId="26" fillId="19" borderId="0">
      <alignment vertical="top"/>
      <protection locked="0"/>
    </xf>
    <xf numFmtId="0" fontId="26" fillId="20" borderId="0">
      <alignment vertical="top"/>
      <protection locked="0"/>
    </xf>
    <xf numFmtId="0" fontId="26" fillId="21" borderId="0">
      <alignment vertical="top"/>
      <protection locked="0"/>
    </xf>
  </cellStyleXfs>
  <cellXfs count="1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 applyProtection="1">
      <alignment horizontal="center" vertical="top" wrapText="1"/>
    </xf>
    <xf numFmtId="0" fontId="2" fillId="3" borderId="1" xfId="0" applyFont="1" applyFill="1" applyBorder="1" applyAlignment="1">
      <alignment horizontal="left"/>
    </xf>
    <xf numFmtId="1" fontId="4" fillId="4" borderId="1" xfId="1" applyNumberFormat="1" applyFont="1" applyFill="1" applyBorder="1" applyAlignment="1" applyProtection="1">
      <alignment horizontal="left" vertical="top" shrinkToFit="1"/>
    </xf>
    <xf numFmtId="1" fontId="4" fillId="4" borderId="1" xfId="0" applyNumberFormat="1" applyFont="1" applyFill="1" applyBorder="1" applyAlignment="1">
      <alignment horizontal="left"/>
    </xf>
    <xf numFmtId="9" fontId="4" fillId="4" borderId="1" xfId="1" applyNumberFormat="1" applyFont="1" applyFill="1" applyBorder="1" applyAlignment="1" applyProtection="1">
      <alignment horizontal="left" vertical="top" shrinkToFit="1"/>
    </xf>
    <xf numFmtId="9" fontId="4" fillId="4" borderId="1" xfId="2" applyNumberFormat="1" applyFont="1" applyFill="1" applyBorder="1" applyAlignment="1" applyProtection="1">
      <alignment horizontal="left"/>
    </xf>
    <xf numFmtId="1" fontId="4" fillId="4" borderId="1" xfId="3" applyNumberFormat="1" applyFont="1" applyFill="1" applyBorder="1" applyAlignment="1" applyProtection="1">
      <alignment horizontal="left" vertical="top" shrinkToFit="1"/>
    </xf>
    <xf numFmtId="1" fontId="4" fillId="4" borderId="1" xfId="3" applyNumberFormat="1" applyFont="1" applyFill="1" applyBorder="1" applyAlignment="1" applyProtection="1">
      <alignment horizontal="left" vertical="center" shrinkToFit="1"/>
    </xf>
    <xf numFmtId="0" fontId="4" fillId="4" borderId="1" xfId="0" applyFont="1" applyFill="1" applyBorder="1" applyAlignment="1">
      <alignment horizontal="left"/>
    </xf>
    <xf numFmtId="1" fontId="4" fillId="4" borderId="1" xfId="2" applyNumberFormat="1" applyFont="1" applyFill="1" applyBorder="1" applyAlignment="1" applyProtection="1">
      <alignment horizontal="left"/>
    </xf>
    <xf numFmtId="9" fontId="4" fillId="4" borderId="1" xfId="1" applyNumberFormat="1" applyFont="1" applyFill="1" applyBorder="1" applyAlignment="1" applyProtection="1">
      <alignment horizontal="left" vertical="center" shrinkToFit="1"/>
    </xf>
    <xf numFmtId="0" fontId="2" fillId="2" borderId="1" xfId="0" applyFont="1" applyFill="1" applyBorder="1" applyAlignment="1">
      <alignment horizontal="left"/>
    </xf>
    <xf numFmtId="0" fontId="5" fillId="2" borderId="1" xfId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3" fillId="2" borderId="1" xfId="1" applyFont="1" applyFill="1" applyBorder="1" applyAlignment="1" applyProtection="1">
      <alignment horizontal="left" vertical="top" wrapText="1"/>
    </xf>
    <xf numFmtId="9" fontId="4" fillId="2" borderId="1" xfId="1" applyNumberFormat="1" applyFont="1" applyFill="1" applyBorder="1" applyAlignment="1" applyProtection="1">
      <alignment horizontal="left" vertical="center" shrinkToFit="1"/>
    </xf>
    <xf numFmtId="164" fontId="4" fillId="4" borderId="1" xfId="1" applyNumberFormat="1" applyFont="1" applyFill="1" applyBorder="1" applyAlignment="1" applyProtection="1">
      <alignment horizontal="left" vertical="top" shrinkToFit="1"/>
    </xf>
    <xf numFmtId="3" fontId="4" fillId="4" borderId="1" xfId="0" applyNumberFormat="1" applyFont="1" applyFill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3" fontId="7" fillId="0" borderId="0" xfId="0" applyNumberFormat="1" applyFont="1" applyAlignment="1"/>
    <xf numFmtId="3" fontId="6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/>
    <xf numFmtId="2" fontId="9" fillId="0" borderId="0" xfId="0" applyNumberFormat="1" applyFont="1" applyAlignment="1"/>
    <xf numFmtId="3" fontId="9" fillId="0" borderId="0" xfId="0" applyNumberFormat="1" applyFont="1" applyAlignment="1"/>
    <xf numFmtId="3" fontId="10" fillId="5" borderId="0" xfId="0" applyNumberFormat="1" applyFont="1" applyFill="1" applyBorder="1" applyAlignment="1"/>
    <xf numFmtId="3" fontId="11" fillId="5" borderId="0" xfId="0" applyNumberFormat="1" applyFont="1" applyFill="1" applyBorder="1" applyAlignment="1"/>
    <xf numFmtId="0" fontId="9" fillId="0" borderId="0" xfId="0" applyFont="1" applyBorder="1" applyAlignment="1"/>
    <xf numFmtId="0" fontId="9" fillId="0" borderId="0" xfId="0" applyFont="1" applyAlignment="1">
      <alignment horizontal="left"/>
    </xf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left"/>
    </xf>
    <xf numFmtId="0" fontId="9" fillId="6" borderId="0" xfId="0" applyFont="1" applyFill="1" applyBorder="1" applyAlignment="1"/>
    <xf numFmtId="0" fontId="9" fillId="7" borderId="0" xfId="0" applyFont="1" applyFill="1" applyBorder="1" applyAlignment="1"/>
    <xf numFmtId="3" fontId="9" fillId="7" borderId="0" xfId="0" applyNumberFormat="1" applyFont="1" applyFill="1" applyBorder="1" applyAlignment="1"/>
    <xf numFmtId="4" fontId="9" fillId="7" borderId="0" xfId="0" applyNumberFormat="1" applyFont="1" applyFill="1" applyBorder="1" applyAlignment="1"/>
    <xf numFmtId="0" fontId="13" fillId="8" borderId="0" xfId="0" applyFont="1" applyFill="1" applyBorder="1" applyAlignment="1"/>
    <xf numFmtId="10" fontId="14" fillId="8" borderId="0" xfId="0" applyNumberFormat="1" applyFont="1" applyFill="1" applyBorder="1" applyAlignment="1">
      <alignment horizontal="center"/>
    </xf>
    <xf numFmtId="0" fontId="8" fillId="0" borderId="0" xfId="0" applyFont="1" applyBorder="1" applyAlignment="1"/>
    <xf numFmtId="0" fontId="8" fillId="9" borderId="0" xfId="0" applyFont="1" applyFill="1" applyBorder="1" applyAlignment="1"/>
    <xf numFmtId="165" fontId="8" fillId="0" borderId="0" xfId="0" applyNumberFormat="1" applyFont="1" applyBorder="1" applyAlignment="1"/>
    <xf numFmtId="10" fontId="8" fillId="0" borderId="0" xfId="0" applyNumberFormat="1" applyFont="1" applyBorder="1" applyAlignment="1"/>
    <xf numFmtId="0" fontId="9" fillId="9" borderId="0" xfId="0" applyFont="1" applyFill="1" applyBorder="1" applyAlignment="1"/>
    <xf numFmtId="3" fontId="9" fillId="0" borderId="0" xfId="0" applyNumberFormat="1" applyFont="1" applyBorder="1" applyAlignment="1"/>
    <xf numFmtId="10" fontId="8" fillId="0" borderId="0" xfId="0" applyNumberFormat="1" applyFont="1" applyAlignment="1"/>
    <xf numFmtId="0" fontId="8" fillId="6" borderId="0" xfId="0" applyFont="1" applyFill="1" applyBorder="1" applyAlignment="1"/>
    <xf numFmtId="166" fontId="8" fillId="6" borderId="0" xfId="0" applyNumberFormat="1" applyFont="1" applyFill="1" applyBorder="1" applyAlignment="1"/>
    <xf numFmtId="167" fontId="8" fillId="6" borderId="0" xfId="0" applyNumberFormat="1" applyFont="1" applyFill="1" applyBorder="1" applyAlignment="1"/>
    <xf numFmtId="0" fontId="9" fillId="10" borderId="0" xfId="0" applyFont="1" applyFill="1" applyBorder="1" applyAlignment="1"/>
    <xf numFmtId="10" fontId="9" fillId="10" borderId="0" xfId="0" applyNumberFormat="1" applyFont="1" applyFill="1" applyBorder="1" applyAlignment="1"/>
    <xf numFmtId="10" fontId="9" fillId="0" borderId="0" xfId="0" applyNumberFormat="1" applyFont="1" applyAlignment="1"/>
    <xf numFmtId="0" fontId="8" fillId="8" borderId="0" xfId="0" applyFont="1" applyFill="1" applyBorder="1" applyAlignment="1"/>
    <xf numFmtId="0" fontId="9" fillId="8" borderId="0" xfId="0" applyFont="1" applyFill="1" applyBorder="1" applyAlignment="1"/>
    <xf numFmtId="0" fontId="9" fillId="11" borderId="0" xfId="0" applyFont="1" applyFill="1" applyBorder="1" applyAlignment="1"/>
    <xf numFmtId="0" fontId="16" fillId="12" borderId="2" xfId="0" applyFont="1" applyFill="1" applyBorder="1" applyAlignment="1"/>
    <xf numFmtId="0" fontId="17" fillId="12" borderId="2" xfId="0" applyFont="1" applyFill="1" applyBorder="1" applyAlignment="1">
      <alignment horizontal="center"/>
    </xf>
    <xf numFmtId="0" fontId="9" fillId="12" borderId="0" xfId="0" applyFont="1" applyFill="1" applyBorder="1" applyAlignment="1"/>
    <xf numFmtId="0" fontId="17" fillId="13" borderId="2" xfId="0" applyFont="1" applyFill="1" applyBorder="1" applyAlignment="1">
      <alignment horizontal="center"/>
    </xf>
    <xf numFmtId="10" fontId="16" fillId="13" borderId="2" xfId="0" applyNumberFormat="1" applyFont="1" applyFill="1" applyBorder="1" applyAlignment="1">
      <alignment horizontal="center"/>
    </xf>
    <xf numFmtId="10" fontId="9" fillId="0" borderId="2" xfId="0" applyNumberFormat="1" applyFont="1" applyBorder="1" applyAlignment="1"/>
    <xf numFmtId="0" fontId="17" fillId="0" borderId="2" xfId="0" applyFont="1" applyBorder="1" applyAlignment="1">
      <alignment horizontal="center"/>
    </xf>
    <xf numFmtId="10" fontId="16" fillId="0" borderId="2" xfId="0" applyNumberFormat="1" applyFont="1" applyBorder="1" applyAlignment="1">
      <alignment horizontal="center"/>
    </xf>
    <xf numFmtId="0" fontId="16" fillId="14" borderId="2" xfId="0" applyFont="1" applyFill="1" applyBorder="1" applyAlignment="1">
      <alignment horizontal="center"/>
    </xf>
    <xf numFmtId="10" fontId="16" fillId="14" borderId="2" xfId="0" applyNumberFormat="1" applyFont="1" applyFill="1" applyBorder="1" applyAlignment="1">
      <alignment horizontal="center"/>
    </xf>
    <xf numFmtId="0" fontId="9" fillId="0" borderId="2" xfId="0" applyFont="1" applyBorder="1" applyAlignment="1"/>
    <xf numFmtId="10" fontId="9" fillId="15" borderId="2" xfId="0" applyNumberFormat="1" applyFont="1" applyFill="1" applyBorder="1" applyAlignment="1"/>
    <xf numFmtId="0" fontId="9" fillId="16" borderId="0" xfId="0" applyFont="1" applyFill="1" applyBorder="1" applyAlignment="1"/>
    <xf numFmtId="3" fontId="9" fillId="16" borderId="0" xfId="0" applyNumberFormat="1" applyFont="1" applyFill="1" applyBorder="1" applyAlignment="1"/>
    <xf numFmtId="0" fontId="17" fillId="15" borderId="2" xfId="0" applyFont="1" applyFill="1" applyBorder="1" applyAlignment="1">
      <alignment horizontal="center"/>
    </xf>
    <xf numFmtId="0" fontId="8" fillId="16" borderId="0" xfId="0" applyFont="1" applyFill="1" applyBorder="1" applyAlignment="1"/>
    <xf numFmtId="10" fontId="18" fillId="15" borderId="2" xfId="0" applyNumberFormat="1" applyFont="1" applyFill="1" applyBorder="1" applyAlignment="1">
      <alignment horizontal="center"/>
    </xf>
    <xf numFmtId="0" fontId="9" fillId="15" borderId="2" xfId="0" applyFont="1" applyFill="1" applyBorder="1" applyAlignment="1"/>
    <xf numFmtId="10" fontId="18" fillId="0" borderId="0" xfId="0" applyNumberFormat="1" applyFont="1" applyAlignment="1">
      <alignment horizont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0" fontId="7" fillId="0" borderId="0" xfId="0" applyFont="1" applyFill="1">
      <alignment vertical="center"/>
    </xf>
    <xf numFmtId="10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3" fontId="9" fillId="0" borderId="2" xfId="0" applyNumberFormat="1" applyFont="1" applyBorder="1" applyAlignment="1"/>
    <xf numFmtId="3" fontId="9" fillId="0" borderId="2" xfId="0" applyNumberFormat="1" applyFont="1" applyBorder="1" applyAlignment="1">
      <alignment horizontal="center"/>
    </xf>
    <xf numFmtId="3" fontId="9" fillId="8" borderId="2" xfId="0" applyNumberFormat="1" applyFont="1" applyFill="1" applyBorder="1" applyAlignment="1">
      <alignment horizontal="center"/>
    </xf>
    <xf numFmtId="0" fontId="9" fillId="7" borderId="2" xfId="0" applyFont="1" applyFill="1" applyBorder="1" applyAlignment="1"/>
    <xf numFmtId="3" fontId="9" fillId="7" borderId="2" xfId="0" applyNumberFormat="1" applyFont="1" applyFill="1" applyBorder="1" applyAlignment="1"/>
    <xf numFmtId="3" fontId="9" fillId="7" borderId="2" xfId="0" applyNumberFormat="1" applyFont="1" applyFill="1" applyBorder="1" applyAlignment="1">
      <alignment horizontal="center"/>
    </xf>
    <xf numFmtId="4" fontId="9" fillId="7" borderId="2" xfId="0" applyNumberFormat="1" applyFont="1" applyFill="1" applyBorder="1" applyAlignment="1"/>
    <xf numFmtId="4" fontId="9" fillId="7" borderId="2" xfId="0" applyNumberFormat="1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167" fontId="7" fillId="0" borderId="2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7" fillId="0" borderId="2" xfId="0" applyFont="1" applyBorder="1" applyAlignment="1"/>
    <xf numFmtId="0" fontId="8" fillId="0" borderId="2" xfId="0" applyFont="1" applyBorder="1" applyAlignment="1">
      <alignment horizontal="left"/>
    </xf>
    <xf numFmtId="10" fontId="6" fillId="0" borderId="2" xfId="0" applyNumberFormat="1" applyFont="1" applyBorder="1" applyAlignment="1">
      <alignment horizontal="left"/>
    </xf>
    <xf numFmtId="0" fontId="9" fillId="0" borderId="0" xfId="0" quotePrefix="1" applyFont="1" applyAlignment="1"/>
    <xf numFmtId="0" fontId="9" fillId="17" borderId="0" xfId="0" applyFont="1" applyFill="1" applyBorder="1" applyAlignment="1"/>
    <xf numFmtId="10" fontId="9" fillId="17" borderId="0" xfId="0" applyNumberFormat="1" applyFont="1" applyFill="1" applyBorder="1" applyAlignment="1"/>
    <xf numFmtId="0" fontId="21" fillId="0" borderId="2" xfId="0" applyFont="1" applyBorder="1" applyAlignment="1">
      <alignment horizontal="center"/>
    </xf>
    <xf numFmtId="0" fontId="22" fillId="18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18" fillId="0" borderId="2" xfId="0" applyNumberFormat="1" applyFont="1" applyBorder="1" applyAlignment="1">
      <alignment horizontal="center"/>
    </xf>
    <xf numFmtId="2" fontId="18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9" fillId="8" borderId="0" xfId="0" applyNumberFormat="1" applyFont="1" applyFill="1" applyBorder="1" applyAlignment="1"/>
    <xf numFmtId="0" fontId="25" fillId="0" borderId="0" xfId="0" applyFont="1" applyAlignment="1">
      <alignment horizontal="center"/>
    </xf>
    <xf numFmtId="9" fontId="18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/>
    <xf numFmtId="0" fontId="14" fillId="0" borderId="0" xfId="0" applyFont="1" applyAlignment="1"/>
    <xf numFmtId="10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" fillId="0" borderId="0" xfId="0" applyFont="1">
      <alignment vertical="center"/>
    </xf>
    <xf numFmtId="0" fontId="20" fillId="17" borderId="6" xfId="0" applyFont="1" applyFill="1" applyBorder="1" applyAlignment="1">
      <alignment horizontal="center"/>
    </xf>
    <xf numFmtId="0" fontId="7" fillId="0" borderId="0" xfId="0" applyFont="1" applyBorder="1" applyAlignment="1"/>
    <xf numFmtId="0" fontId="19" fillId="17" borderId="6" xfId="0" applyFont="1" applyFill="1" applyBorder="1" applyAlignment="1">
      <alignment horizontal="center"/>
    </xf>
    <xf numFmtId="0" fontId="19" fillId="17" borderId="3" xfId="0" applyFont="1" applyFill="1" applyBorder="1" applyAlignment="1">
      <alignment horizontal="center"/>
    </xf>
    <xf numFmtId="0" fontId="7" fillId="0" borderId="4" xfId="0" applyFont="1" applyBorder="1" applyAlignment="1"/>
    <xf numFmtId="0" fontId="7" fillId="0" borderId="5" xfId="0" applyFont="1" applyBorder="1" applyAlignment="1"/>
    <xf numFmtId="0" fontId="19" fillId="17" borderId="0" xfId="0" applyFont="1" applyFill="1" applyBorder="1" applyAlignment="1">
      <alignment horizontal="center"/>
    </xf>
    <xf numFmtId="0" fontId="9" fillId="0" borderId="0" xfId="0" applyFont="1" applyAlignment="1"/>
    <xf numFmtId="0" fontId="27" fillId="15" borderId="3" xfId="0" applyFont="1" applyFill="1" applyBorder="1" applyAlignment="1">
      <alignment horizontal="center"/>
    </xf>
    <xf numFmtId="0" fontId="27" fillId="15" borderId="5" xfId="0" applyFont="1" applyFill="1" applyBorder="1" applyAlignment="1">
      <alignment horizontal="center"/>
    </xf>
  </cellXfs>
  <cellStyles count="4">
    <cellStyle name="20% - 强调文字颜色 1" xfId="2" xr:uid="{00000000-0005-0000-0000-000002000000}"/>
    <cellStyle name="20% - 强调文字颜色 2" xfId="1" xr:uid="{00000000-0005-0000-0000-000001000000}"/>
    <cellStyle name="20% - 强调文字颜色 3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avg'!$I$23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2A3-4C2D-B642-96B50D88D5AE}"/>
              </c:ext>
            </c:extLst>
          </c:dPt>
          <c:cat>
            <c:strRef>
              <c:f>'Ind avg'!$H$24:$I$27</c:f>
              <c:strCache>
                <c:ptCount val="4"/>
                <c:pt idx="0">
                  <c:v>BOP</c:v>
                </c:pt>
                <c:pt idx="1">
                  <c:v>METRO</c:v>
                </c:pt>
                <c:pt idx="2">
                  <c:v>JS BANK</c:v>
                </c:pt>
                <c:pt idx="3">
                  <c:v>ASKARI</c:v>
                </c:pt>
              </c:strCache>
            </c:strRef>
          </c:cat>
          <c:val>
            <c:numRef>
              <c:f>'Ind avg'!$J$24:$J$27</c:f>
              <c:numCache>
                <c:formatCode>0%</c:formatCode>
                <c:ptCount val="4"/>
                <c:pt idx="0">
                  <c:v>0.15</c:v>
                </c:pt>
                <c:pt idx="1">
                  <c:v>0.24</c:v>
                </c:pt>
                <c:pt idx="2">
                  <c:v>0.14000000000000001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A3-4C2D-B642-96B50D88D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692736"/>
        <c:axId val="1053710208"/>
      </c:barChart>
      <c:catAx>
        <c:axId val="10536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0208"/>
        <c:crosses val="autoZero"/>
        <c:auto val="1"/>
        <c:lblAlgn val="ctr"/>
        <c:lblOffset val="100"/>
        <c:noMultiLvlLbl val="0"/>
      </c:catAx>
      <c:valAx>
        <c:axId val="10537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avg'!$N$23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D7-4C1A-BE5D-4373FC409F2F}"/>
              </c:ext>
            </c:extLst>
          </c:dPt>
          <c:cat>
            <c:strRef>
              <c:f>'Ind avg'!$M$24:$N$27</c:f>
              <c:strCache>
                <c:ptCount val="4"/>
                <c:pt idx="0">
                  <c:v>BOP</c:v>
                </c:pt>
                <c:pt idx="1">
                  <c:v>METRO</c:v>
                </c:pt>
                <c:pt idx="2">
                  <c:v>JS BANK</c:v>
                </c:pt>
                <c:pt idx="3">
                  <c:v>ASKARI</c:v>
                </c:pt>
              </c:strCache>
            </c:strRef>
          </c:cat>
          <c:val>
            <c:numRef>
              <c:f>'Ind avg'!$O$24:$O$27</c:f>
              <c:numCache>
                <c:formatCode>0</c:formatCode>
                <c:ptCount val="4"/>
                <c:pt idx="0">
                  <c:v>835</c:v>
                </c:pt>
                <c:pt idx="1">
                  <c:v>681</c:v>
                </c:pt>
                <c:pt idx="2">
                  <c:v>433</c:v>
                </c:pt>
                <c:pt idx="3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7-4C1A-BE5D-4373FC409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897216"/>
        <c:axId val="1042900960"/>
      </c:barChart>
      <c:catAx>
        <c:axId val="10428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00960"/>
        <c:crosses val="autoZero"/>
        <c:auto val="1"/>
        <c:lblAlgn val="ctr"/>
        <c:lblOffset val="100"/>
        <c:noMultiLvlLbl val="0"/>
      </c:catAx>
      <c:valAx>
        <c:axId val="10429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Uninsured Deposits/Total Deposits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0.00%</c:formatCode>
              <c:ptCount val="5"/>
              <c:pt idx="0">
                <c:v>0.60150352363038295</c:v>
              </c:pt>
              <c:pt idx="1">
                <c:v>0.9545793383865</c:v>
              </c:pt>
              <c:pt idx="2">
                <c:v>0.573882568784985</c:v>
              </c:pt>
              <c:pt idx="3">
                <c:v>0.54748613552497305</c:v>
              </c:pt>
              <c:pt idx="4">
                <c:v>0.54793223807334801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443-41C0-B8C9-29D8DDB8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711067"/>
        <c:axId val="1450357761"/>
      </c:lineChart>
      <c:catAx>
        <c:axId val="16037110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57761"/>
        <c:crosses val="autoZero"/>
        <c:auto val="1"/>
        <c:lblAlgn val="ctr"/>
        <c:lblOffset val="100"/>
        <c:noMultiLvlLbl val="1"/>
      </c:catAx>
      <c:valAx>
        <c:axId val="14503577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110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Employee productivity ratio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5"/>
              <c:pt idx="0">
                <c:v>1299.2421770526901</c:v>
              </c:pt>
              <c:pt idx="1">
                <c:v>1417.7326978323299</c:v>
              </c:pt>
              <c:pt idx="2">
                <c:v>931.49734536766596</c:v>
              </c:pt>
              <c:pt idx="3">
                <c:v>587.85858317856196</c:v>
              </c:pt>
              <c:pt idx="4">
                <c:v>652.61034658511699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42B-409A-953E-5C099577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470911"/>
        <c:axId val="1734287227"/>
      </c:lineChart>
      <c:catAx>
        <c:axId val="835470911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4287227"/>
        <c:crosses val="autoZero"/>
        <c:auto val="1"/>
        <c:lblAlgn val="ctr"/>
        <c:lblOffset val="100"/>
        <c:noMultiLvlLbl val="1"/>
      </c:catAx>
      <c:valAx>
        <c:axId val="1734287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5470911"/>
        <c:crosses val="max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Nonperforming Loans/Total Loans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0.00%</c:formatCode>
              <c:ptCount val="5"/>
              <c:pt idx="0">
                <c:v>6.5244059355732298E-2</c:v>
              </c:pt>
              <c:pt idx="1">
                <c:v>7.2673829594501402E-2</c:v>
              </c:pt>
              <c:pt idx="2">
                <c:v>7.5438513527685103E-2</c:v>
              </c:pt>
              <c:pt idx="3">
                <c:v>7.7693181949369305E-2</c:v>
              </c:pt>
              <c:pt idx="4">
                <c:v>0.103416088205774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AA5-4296-94DD-C0E6CCCD8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536360"/>
        <c:axId val="1851407709"/>
      </c:lineChart>
      <c:catAx>
        <c:axId val="222536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1407709"/>
        <c:crosses val="autoZero"/>
        <c:auto val="1"/>
        <c:lblAlgn val="ctr"/>
        <c:lblOffset val="100"/>
        <c:noMultiLvlLbl val="1"/>
      </c:catAx>
      <c:valAx>
        <c:axId val="1851407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253636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Earning Spread</c:v>
          </c:tx>
          <c:spPr>
            <a:ln w="28575" cmpd="sng">
              <a:solidFill>
                <a:srgbClr val="4285F4"/>
              </a:solidFill>
            </a:ln>
          </c:spPr>
          <c:marker>
            <c:symbol val="none"/>
          </c:marker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Lit>
              <c:formatCode>0.00%</c:formatCode>
              <c:ptCount val="5"/>
              <c:pt idx="0">
                <c:v>4.5146994157875403E-2</c:v>
              </c:pt>
              <c:pt idx="1">
                <c:v>5.5620082758119298E-2</c:v>
              </c:pt>
              <c:pt idx="2">
                <c:v>6.2643853945129904E-2</c:v>
              </c:pt>
              <c:pt idx="3">
                <c:v>3.4260092276836303E-2</c:v>
              </c:pt>
              <c:pt idx="4">
                <c:v>2.6674580597265799E-2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8F-4FA2-B054-5657DA62E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05188"/>
        <c:axId val="1566259284"/>
      </c:lineChart>
      <c:catAx>
        <c:axId val="137505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6259284"/>
        <c:crosses val="autoZero"/>
        <c:auto val="1"/>
        <c:lblAlgn val="ctr"/>
        <c:lblOffset val="100"/>
        <c:noMultiLvlLbl val="1"/>
      </c:catAx>
      <c:valAx>
        <c:axId val="1566259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5051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Return on Equity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Lit>
              <c:formatCode>0.00%</c:formatCode>
              <c:ptCount val="5"/>
              <c:pt idx="0">
                <c:v>0.17336872560295899</c:v>
              </c:pt>
              <c:pt idx="1">
                <c:v>0.19855054586785001</c:v>
              </c:pt>
              <c:pt idx="2">
                <c:v>0.16550801169835999</c:v>
              </c:pt>
              <c:pt idx="3">
                <c:v>0.13188185686457399</c:v>
              </c:pt>
              <c:pt idx="4">
                <c:v>0.15737129698491001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078-4F7F-BF6F-235D6ADAD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219095"/>
        <c:axId val="119399143"/>
      </c:lineChart>
      <c:catAx>
        <c:axId val="168221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99143"/>
        <c:crosses val="autoZero"/>
        <c:auto val="1"/>
        <c:lblAlgn val="ctr"/>
        <c:lblOffset val="100"/>
        <c:noMultiLvlLbl val="1"/>
      </c:catAx>
      <c:valAx>
        <c:axId val="11939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2190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avg'!$I$23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F-42E6-94B7-D822931758A4}"/>
              </c:ext>
            </c:extLst>
          </c:dPt>
          <c:cat>
            <c:strRef>
              <c:f>'Ind avg'!$H$24:$I$27</c:f>
              <c:strCache>
                <c:ptCount val="4"/>
                <c:pt idx="0">
                  <c:v>BOP</c:v>
                </c:pt>
                <c:pt idx="1">
                  <c:v>METRO</c:v>
                </c:pt>
                <c:pt idx="2">
                  <c:v>JS BANK</c:v>
                </c:pt>
                <c:pt idx="3">
                  <c:v>ASKARI</c:v>
                </c:pt>
              </c:strCache>
            </c:strRef>
          </c:cat>
          <c:val>
            <c:numRef>
              <c:f>'Ind avg'!$J$24:$J$27</c:f>
              <c:numCache>
                <c:formatCode>0%</c:formatCode>
                <c:ptCount val="4"/>
                <c:pt idx="0">
                  <c:v>0.15</c:v>
                </c:pt>
                <c:pt idx="1">
                  <c:v>0.24</c:v>
                </c:pt>
                <c:pt idx="2">
                  <c:v>0.14000000000000001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F-42E6-94B7-D8229317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692736"/>
        <c:axId val="1053710208"/>
      </c:barChart>
      <c:catAx>
        <c:axId val="10536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0208"/>
        <c:crosses val="autoZero"/>
        <c:auto val="1"/>
        <c:lblAlgn val="ctr"/>
        <c:lblOffset val="100"/>
        <c:noMultiLvlLbl val="0"/>
      </c:catAx>
      <c:valAx>
        <c:axId val="10537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avg'!$N$23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5-42A3-B918-4EAF3D045BBE}"/>
              </c:ext>
            </c:extLst>
          </c:dPt>
          <c:cat>
            <c:strRef>
              <c:f>'Ind avg'!$M$24:$N$27</c:f>
              <c:strCache>
                <c:ptCount val="4"/>
                <c:pt idx="0">
                  <c:v>BOP</c:v>
                </c:pt>
                <c:pt idx="1">
                  <c:v>METRO</c:v>
                </c:pt>
                <c:pt idx="2">
                  <c:v>JS BANK</c:v>
                </c:pt>
                <c:pt idx="3">
                  <c:v>ASKARI</c:v>
                </c:pt>
              </c:strCache>
            </c:strRef>
          </c:cat>
          <c:val>
            <c:numRef>
              <c:f>'Ind avg'!$O$24:$O$27</c:f>
              <c:numCache>
                <c:formatCode>0</c:formatCode>
                <c:ptCount val="4"/>
                <c:pt idx="0">
                  <c:v>835</c:v>
                </c:pt>
                <c:pt idx="1">
                  <c:v>681</c:v>
                </c:pt>
                <c:pt idx="2">
                  <c:v>433</c:v>
                </c:pt>
                <c:pt idx="3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5-42A3-B918-4EAF3D04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897216"/>
        <c:axId val="1042900960"/>
      </c:barChart>
      <c:catAx>
        <c:axId val="10428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00960"/>
        <c:crosses val="autoZero"/>
        <c:auto val="1"/>
        <c:lblAlgn val="ctr"/>
        <c:lblOffset val="100"/>
        <c:noMultiLvlLbl val="0"/>
      </c:catAx>
      <c:valAx>
        <c:axId val="10429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966787</xdr:colOff>
      <xdr:row>22</xdr:row>
      <xdr:rowOff>66675</xdr:rowOff>
    </xdr:from>
    <xdr:to>
      <xdr:col>4</xdr:col>
      <xdr:colOff>1319212</xdr:colOff>
      <xdr:row>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2FF67-9CFE-4F49-B8F4-12A8DDFD7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700087</xdr:colOff>
      <xdr:row>28</xdr:row>
      <xdr:rowOff>161925</xdr:rowOff>
    </xdr:from>
    <xdr:to>
      <xdr:col>12</xdr:col>
      <xdr:colOff>614362</xdr:colOff>
      <xdr:row>43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BD054-EBE2-4FCE-8647-DD245C231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13</xdr:col>
      <xdr:colOff>406182</xdr:colOff>
      <xdr:row>28</xdr:row>
      <xdr:rowOff>50787</xdr:rowOff>
    </xdr:to>
    <xdr:pic>
      <xdr:nvPicPr>
        <xdr:cNvPr id="2" name=" 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033639" y="2095236"/>
          <a:ext cx="8974595" cy="336178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541740</xdr:colOff>
      <xdr:row>0</xdr:row>
      <xdr:rowOff>0</xdr:rowOff>
    </xdr:from>
    <xdr:to>
      <xdr:col>12</xdr:col>
      <xdr:colOff>479463</xdr:colOff>
      <xdr:row>15</xdr:row>
      <xdr:rowOff>139154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66842</xdr:colOff>
      <xdr:row>0</xdr:row>
      <xdr:rowOff>116974</xdr:rowOff>
    </xdr:from>
    <xdr:to>
      <xdr:col>6</xdr:col>
      <xdr:colOff>43285</xdr:colOff>
      <xdr:row>16</xdr:row>
      <xdr:rowOff>72312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379686</xdr:colOff>
      <xdr:row>0</xdr:row>
      <xdr:rowOff>0</xdr:rowOff>
    </xdr:from>
    <xdr:to>
      <xdr:col>20</xdr:col>
      <xdr:colOff>317410</xdr:colOff>
      <xdr:row>15</xdr:row>
      <xdr:rowOff>151804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417763</xdr:colOff>
      <xdr:row>19</xdr:row>
      <xdr:rowOff>9530</xdr:rowOff>
    </xdr:from>
    <xdr:to>
      <xdr:col>10</xdr:col>
      <xdr:colOff>646362</xdr:colOff>
      <xdr:row>33</xdr:row>
      <xdr:rowOff>194076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491538</xdr:colOff>
      <xdr:row>18</xdr:row>
      <xdr:rowOff>141643</xdr:rowOff>
    </xdr:from>
    <xdr:to>
      <xdr:col>18</xdr:col>
      <xdr:colOff>429262</xdr:colOff>
      <xdr:row>33</xdr:row>
      <xdr:rowOff>34997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607094</xdr:colOff>
      <xdr:row>36</xdr:row>
      <xdr:rowOff>61828</xdr:rowOff>
    </xdr:from>
    <xdr:to>
      <xdr:col>18</xdr:col>
      <xdr:colOff>511844</xdr:colOff>
      <xdr:row>49</xdr:row>
      <xdr:rowOff>183648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AE40B3-66B2-4375-8D2B-38FEB74E7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267368</xdr:colOff>
      <xdr:row>35</xdr:row>
      <xdr:rowOff>100263</xdr:rowOff>
    </xdr:from>
    <xdr:to>
      <xdr:col>10</xdr:col>
      <xdr:colOff>170447</xdr:colOff>
      <xdr:row>49</xdr:row>
      <xdr:rowOff>42612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C2FF96-FAF2-4A50-BEB1-1260A2742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opLeftCell="A10" workbookViewId="0">
      <selection activeCell="P33" sqref="P33"/>
    </sheetView>
  </sheetViews>
  <sheetFormatPr defaultColWidth="10" defaultRowHeight="15"/>
  <cols>
    <col min="1" max="1" width="21.625" style="1" customWidth="1"/>
    <col min="3" max="3" width="13.75" style="1" customWidth="1"/>
    <col min="5" max="5" width="19.375" style="1" customWidth="1"/>
    <col min="7" max="7" width="10.875" style="1" customWidth="1"/>
    <col min="9" max="9" width="10.25" style="1" customWidth="1"/>
    <col min="15" max="15" width="18.375" style="1" customWidth="1"/>
  </cols>
  <sheetData>
    <row r="1" spans="1:15" ht="14.25">
      <c r="A1" s="2" t="s">
        <v>0</v>
      </c>
      <c r="B1" s="125" t="s">
        <v>1</v>
      </c>
      <c r="C1" s="125"/>
      <c r="D1" s="125" t="s">
        <v>2</v>
      </c>
      <c r="E1" s="125"/>
      <c r="F1" s="125" t="s">
        <v>3</v>
      </c>
      <c r="G1" s="125"/>
      <c r="H1" s="125" t="s">
        <v>4</v>
      </c>
      <c r="I1" s="125"/>
      <c r="J1" s="125" t="s">
        <v>5</v>
      </c>
      <c r="K1" s="125"/>
      <c r="L1" s="125" t="s">
        <v>6</v>
      </c>
      <c r="M1" s="125"/>
      <c r="N1" s="125" t="s">
        <v>7</v>
      </c>
      <c r="O1" s="125"/>
    </row>
    <row r="2" spans="1:15" ht="14.25">
      <c r="A2" s="2"/>
      <c r="B2" s="3" t="s">
        <v>8</v>
      </c>
      <c r="C2" s="3" t="s">
        <v>9</v>
      </c>
      <c r="D2" s="3" t="s">
        <v>8</v>
      </c>
      <c r="E2" s="3" t="s">
        <v>9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s="3" t="s">
        <v>9</v>
      </c>
      <c r="L2" s="3" t="s">
        <v>8</v>
      </c>
      <c r="M2" s="3" t="s">
        <v>9</v>
      </c>
      <c r="N2" s="3" t="s">
        <v>8</v>
      </c>
      <c r="O2" s="3" t="s">
        <v>9</v>
      </c>
    </row>
    <row r="3" spans="1:15" ht="14.25">
      <c r="A3" s="4" t="s">
        <v>10</v>
      </c>
      <c r="B3" s="5">
        <v>12</v>
      </c>
      <c r="C3" s="5">
        <v>3</v>
      </c>
      <c r="D3" s="5">
        <v>18</v>
      </c>
      <c r="E3" s="5">
        <v>4</v>
      </c>
      <c r="F3" s="5">
        <v>20</v>
      </c>
      <c r="G3" s="5">
        <v>5</v>
      </c>
      <c r="H3" s="5">
        <v>24</v>
      </c>
      <c r="I3" s="5">
        <v>5</v>
      </c>
      <c r="J3" s="5">
        <v>11</v>
      </c>
      <c r="K3" s="5">
        <v>4</v>
      </c>
      <c r="L3" s="5">
        <v>2</v>
      </c>
      <c r="M3" s="5">
        <v>1</v>
      </c>
      <c r="N3" s="6">
        <v>14.5</v>
      </c>
      <c r="O3" s="6">
        <v>3.6666666666666665</v>
      </c>
    </row>
    <row r="4" spans="1:15" ht="14.25">
      <c r="A4" s="4" t="s">
        <v>11</v>
      </c>
      <c r="B4" s="5">
        <v>7</v>
      </c>
      <c r="C4" s="5">
        <v>2</v>
      </c>
      <c r="D4" s="5">
        <v>11</v>
      </c>
      <c r="E4" s="5">
        <v>3</v>
      </c>
      <c r="F4" s="5">
        <v>12</v>
      </c>
      <c r="G4" s="5">
        <v>3</v>
      </c>
      <c r="H4" s="5">
        <v>13</v>
      </c>
      <c r="I4" s="5">
        <v>3</v>
      </c>
      <c r="J4" s="5">
        <v>7</v>
      </c>
      <c r="K4" s="5">
        <v>2</v>
      </c>
      <c r="L4" s="5">
        <v>1</v>
      </c>
      <c r="M4" s="5">
        <v>0</v>
      </c>
      <c r="N4" s="6">
        <v>8.5</v>
      </c>
      <c r="O4" s="6">
        <v>2.1666666666666665</v>
      </c>
    </row>
    <row r="5" spans="1:15" ht="14.25">
      <c r="A5" s="4" t="s">
        <v>12</v>
      </c>
      <c r="B5" s="7">
        <v>0.14000000000000001</v>
      </c>
      <c r="C5" s="7">
        <v>0.15</v>
      </c>
      <c r="D5" s="7">
        <v>0.22</v>
      </c>
      <c r="E5" s="7">
        <v>0.21</v>
      </c>
      <c r="F5" s="7">
        <v>0.24</v>
      </c>
      <c r="G5" s="7">
        <v>0.23</v>
      </c>
      <c r="H5" s="7">
        <v>0.16</v>
      </c>
      <c r="I5" s="7">
        <v>0.17</v>
      </c>
      <c r="J5" s="7">
        <v>0.11</v>
      </c>
      <c r="K5" s="7">
        <v>0.14000000000000001</v>
      </c>
      <c r="L5" s="7">
        <v>0.06</v>
      </c>
      <c r="M5" s="7">
        <v>7.0000000000000007E-2</v>
      </c>
      <c r="N5" s="8">
        <v>0.155</v>
      </c>
      <c r="O5" s="8">
        <v>0.16166666666666665</v>
      </c>
    </row>
    <row r="6" spans="1:15" ht="14.25">
      <c r="A6" s="4" t="s">
        <v>13</v>
      </c>
      <c r="B6" s="9">
        <v>391</v>
      </c>
      <c r="C6" s="9">
        <v>415</v>
      </c>
      <c r="D6" s="9">
        <v>395</v>
      </c>
      <c r="E6" s="9">
        <v>414</v>
      </c>
      <c r="F6" s="9">
        <v>312</v>
      </c>
      <c r="G6" s="9">
        <v>346</v>
      </c>
      <c r="H6" s="10">
        <v>178</v>
      </c>
      <c r="I6" s="10">
        <v>214</v>
      </c>
      <c r="J6" s="9">
        <v>318</v>
      </c>
      <c r="K6" s="9">
        <v>322</v>
      </c>
      <c r="L6" s="9">
        <v>250</v>
      </c>
      <c r="M6" s="9">
        <v>251</v>
      </c>
      <c r="N6" s="6">
        <v>307.33333333333331</v>
      </c>
      <c r="O6" s="11">
        <v>327</v>
      </c>
    </row>
    <row r="7" spans="1:15" ht="14.25">
      <c r="A7" s="4" t="s">
        <v>14</v>
      </c>
      <c r="B7" s="9">
        <v>835</v>
      </c>
      <c r="C7" s="9">
        <v>827</v>
      </c>
      <c r="D7" s="9">
        <v>791</v>
      </c>
      <c r="E7" s="9">
        <v>803</v>
      </c>
      <c r="F7" s="9">
        <v>681</v>
      </c>
      <c r="G7" s="9">
        <v>715</v>
      </c>
      <c r="H7" s="10">
        <v>557</v>
      </c>
      <c r="I7" s="10">
        <v>558</v>
      </c>
      <c r="J7" s="9">
        <v>541</v>
      </c>
      <c r="K7" s="9">
        <v>549</v>
      </c>
      <c r="L7" s="9">
        <v>433</v>
      </c>
      <c r="M7" s="9">
        <v>426</v>
      </c>
      <c r="N7" s="6">
        <v>639.66666666666663</v>
      </c>
      <c r="O7" s="6">
        <v>646.33333333333337</v>
      </c>
    </row>
    <row r="8" spans="1:15" ht="14.25">
      <c r="A8" s="4" t="s">
        <v>15</v>
      </c>
      <c r="B8" s="9">
        <v>57</v>
      </c>
      <c r="C8" s="9">
        <v>57</v>
      </c>
      <c r="D8" s="9">
        <v>28</v>
      </c>
      <c r="E8" s="9">
        <v>28</v>
      </c>
      <c r="F8" s="9">
        <v>19</v>
      </c>
      <c r="G8" s="9">
        <v>19</v>
      </c>
      <c r="H8" s="10">
        <v>23</v>
      </c>
      <c r="I8" s="10">
        <v>22</v>
      </c>
      <c r="J8" s="9">
        <v>26</v>
      </c>
      <c r="K8" s="9">
        <v>24</v>
      </c>
      <c r="L8" s="9">
        <v>12</v>
      </c>
      <c r="M8" s="9">
        <v>13</v>
      </c>
      <c r="N8" s="6">
        <v>27.5</v>
      </c>
      <c r="O8" s="12">
        <v>27.166666666666668</v>
      </c>
    </row>
    <row r="9" spans="1:15" ht="14.25">
      <c r="A9" s="4" t="s">
        <v>16</v>
      </c>
      <c r="B9" s="13">
        <v>0.16</v>
      </c>
      <c r="C9" s="13">
        <v>0.14000000000000001</v>
      </c>
      <c r="D9" s="13">
        <v>0.15</v>
      </c>
      <c r="E9" s="13">
        <v>0.14000000000000001</v>
      </c>
      <c r="F9" s="13">
        <v>0.17</v>
      </c>
      <c r="G9" s="13">
        <v>0.15</v>
      </c>
      <c r="H9" s="13">
        <v>0.19</v>
      </c>
      <c r="I9" s="13">
        <v>0.17</v>
      </c>
      <c r="J9" s="13">
        <v>0.19</v>
      </c>
      <c r="K9" s="13">
        <v>0.19</v>
      </c>
      <c r="L9" s="13">
        <v>0.13</v>
      </c>
      <c r="M9" s="13">
        <v>0.13</v>
      </c>
      <c r="N9" s="8">
        <v>0.16499999999999998</v>
      </c>
      <c r="O9" s="8">
        <v>0.15333333333333335</v>
      </c>
    </row>
    <row r="10" spans="1:15" ht="14.25">
      <c r="A10" s="4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4.25">
      <c r="A11" s="14"/>
      <c r="B11" s="126" t="s">
        <v>4</v>
      </c>
      <c r="C11" s="126"/>
      <c r="D11" s="126" t="s">
        <v>7</v>
      </c>
      <c r="E11" s="126"/>
      <c r="F11" s="126" t="s">
        <v>17</v>
      </c>
      <c r="G11" s="126"/>
      <c r="H11" s="15"/>
      <c r="I11" s="15"/>
      <c r="J11" s="16"/>
      <c r="K11" s="16"/>
      <c r="L11" s="16"/>
      <c r="M11" s="16"/>
      <c r="N11" s="16"/>
      <c r="O11" s="16"/>
    </row>
    <row r="12" spans="1:15" ht="14.25">
      <c r="A12" s="14"/>
      <c r="B12" s="17" t="s">
        <v>8</v>
      </c>
      <c r="C12" s="17" t="s">
        <v>9</v>
      </c>
      <c r="D12" s="17" t="s">
        <v>8</v>
      </c>
      <c r="E12" s="17" t="s">
        <v>9</v>
      </c>
      <c r="F12" s="17" t="s">
        <v>8</v>
      </c>
      <c r="G12" s="17"/>
      <c r="H12" s="18"/>
      <c r="I12" s="18"/>
      <c r="J12" s="16"/>
      <c r="K12" s="16"/>
      <c r="L12" s="16"/>
      <c r="M12" s="16"/>
      <c r="N12" s="16"/>
      <c r="O12" s="16"/>
    </row>
    <row r="13" spans="1:15" ht="14.25">
      <c r="A13" s="4" t="s">
        <v>10</v>
      </c>
      <c r="B13" s="5">
        <v>24</v>
      </c>
      <c r="C13" s="5">
        <v>5</v>
      </c>
      <c r="D13" s="6">
        <v>14.5</v>
      </c>
      <c r="E13" s="6">
        <v>3.6666666666666665</v>
      </c>
      <c r="F13" s="5">
        <v>314</v>
      </c>
      <c r="G13" s="5"/>
      <c r="H13" s="11"/>
      <c r="I13" s="11"/>
      <c r="J13" s="11"/>
      <c r="K13" s="11"/>
      <c r="L13" s="11"/>
      <c r="M13" s="11"/>
      <c r="N13" s="11"/>
      <c r="O13" s="11"/>
    </row>
    <row r="14" spans="1:15" ht="14.25">
      <c r="A14" s="4" t="s">
        <v>11</v>
      </c>
      <c r="B14" s="5">
        <v>13</v>
      </c>
      <c r="C14" s="5">
        <v>3</v>
      </c>
      <c r="D14" s="6">
        <v>8.5</v>
      </c>
      <c r="E14" s="6">
        <v>2.1666666666666665</v>
      </c>
      <c r="F14" s="5">
        <v>178</v>
      </c>
      <c r="G14" s="5"/>
      <c r="H14" s="11"/>
      <c r="I14" s="11"/>
      <c r="J14" s="11"/>
      <c r="K14" s="11"/>
      <c r="L14" s="11"/>
      <c r="M14" s="11"/>
      <c r="N14" s="11"/>
      <c r="O14" s="11"/>
    </row>
    <row r="15" spans="1:15" ht="14.25">
      <c r="A15" s="4" t="s">
        <v>12</v>
      </c>
      <c r="B15" s="7">
        <v>0.17</v>
      </c>
      <c r="C15" s="7">
        <v>0.17</v>
      </c>
      <c r="D15" s="8">
        <v>0.15666666666666665</v>
      </c>
      <c r="E15" s="8">
        <v>0.16166666666666665</v>
      </c>
      <c r="F15" s="19">
        <v>0.113</v>
      </c>
      <c r="G15" s="19"/>
      <c r="H15" s="11"/>
      <c r="I15" s="11"/>
      <c r="J15" s="11"/>
      <c r="K15" s="11"/>
      <c r="L15" s="11"/>
      <c r="M15" s="11"/>
      <c r="N15" s="11"/>
      <c r="O15" s="11"/>
    </row>
    <row r="16" spans="1:15" ht="14.25">
      <c r="A16" s="4" t="s">
        <v>13</v>
      </c>
      <c r="B16" s="10">
        <v>178</v>
      </c>
      <c r="C16" s="10">
        <v>214</v>
      </c>
      <c r="D16" s="6">
        <v>307.33333333333331</v>
      </c>
      <c r="E16" s="11">
        <v>327</v>
      </c>
      <c r="F16" s="20">
        <v>9024</v>
      </c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4.25">
      <c r="A17" s="4" t="s">
        <v>14</v>
      </c>
      <c r="B17" s="10">
        <v>557</v>
      </c>
      <c r="C17" s="10">
        <v>558</v>
      </c>
      <c r="D17" s="6">
        <v>639.66666666666663</v>
      </c>
      <c r="E17" s="6">
        <v>646.33333333333337</v>
      </c>
      <c r="F17" s="20">
        <v>18519</v>
      </c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4.25">
      <c r="A18" s="4" t="s">
        <v>15</v>
      </c>
      <c r="B18" s="10">
        <v>23</v>
      </c>
      <c r="C18" s="10">
        <v>22</v>
      </c>
      <c r="D18" s="6">
        <v>27.5</v>
      </c>
      <c r="E18" s="6">
        <v>27.166666666666668</v>
      </c>
      <c r="F18" s="11">
        <v>829</v>
      </c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4.25">
      <c r="A19" s="4" t="s">
        <v>16</v>
      </c>
      <c r="B19" s="13">
        <v>0.19</v>
      </c>
      <c r="C19" s="13">
        <v>0.17</v>
      </c>
      <c r="D19" s="8">
        <v>0.16499999999999998</v>
      </c>
      <c r="E19" s="8">
        <v>0.15333333333333335</v>
      </c>
      <c r="F19" s="19">
        <v>0.17</v>
      </c>
      <c r="G19" s="19"/>
      <c r="H19" s="11"/>
      <c r="I19" s="11"/>
      <c r="J19" s="11"/>
      <c r="K19" s="11"/>
      <c r="L19" s="11"/>
      <c r="M19" s="11"/>
      <c r="N19" s="11"/>
      <c r="O19" s="11"/>
    </row>
    <row r="20" spans="1:15" ht="14.25">
      <c r="A20" s="11"/>
      <c r="B20" s="11"/>
      <c r="C20" s="11"/>
      <c r="D20" s="11"/>
      <c r="E20" s="11"/>
      <c r="F20" s="19"/>
      <c r="G20" s="19"/>
      <c r="H20" s="11"/>
      <c r="I20" s="11"/>
      <c r="J20" s="11"/>
      <c r="K20" s="11"/>
      <c r="L20" s="11"/>
      <c r="M20" s="11"/>
      <c r="N20" s="11"/>
      <c r="O20" s="11"/>
    </row>
    <row r="23" spans="1:15">
      <c r="I23" s="4" t="s">
        <v>12</v>
      </c>
      <c r="N23" s="4" t="s">
        <v>14</v>
      </c>
    </row>
    <row r="24" spans="1:15">
      <c r="H24" s="125" t="s">
        <v>1</v>
      </c>
      <c r="I24" s="125"/>
      <c r="J24" s="7">
        <v>0.15</v>
      </c>
      <c r="M24" s="125" t="s">
        <v>1</v>
      </c>
      <c r="N24" s="125"/>
      <c r="O24" s="9">
        <v>835</v>
      </c>
    </row>
    <row r="25" spans="1:15">
      <c r="H25" s="125" t="s">
        <v>3</v>
      </c>
      <c r="I25" s="125"/>
      <c r="J25" s="7">
        <v>0.24</v>
      </c>
      <c r="M25" s="125" t="s">
        <v>3</v>
      </c>
      <c r="N25" s="125"/>
      <c r="O25" s="9">
        <v>681</v>
      </c>
    </row>
    <row r="26" spans="1:15">
      <c r="H26" s="125" t="s">
        <v>6</v>
      </c>
      <c r="I26" s="125"/>
      <c r="J26" s="7">
        <v>0.14000000000000001</v>
      </c>
      <c r="M26" s="125" t="s">
        <v>6</v>
      </c>
      <c r="N26" s="125"/>
      <c r="O26" s="9">
        <v>433</v>
      </c>
    </row>
    <row r="27" spans="1:15">
      <c r="H27" s="125" t="s">
        <v>2</v>
      </c>
      <c r="I27" s="125"/>
      <c r="J27" s="7">
        <v>0.22</v>
      </c>
      <c r="M27" s="125" t="s">
        <v>2</v>
      </c>
      <c r="N27" s="125"/>
      <c r="O27" s="9">
        <v>803</v>
      </c>
    </row>
  </sheetData>
  <mergeCells count="18">
    <mergeCell ref="H26:I26"/>
    <mergeCell ref="H27:I27"/>
    <mergeCell ref="M24:N24"/>
    <mergeCell ref="M25:N25"/>
    <mergeCell ref="M26:N26"/>
    <mergeCell ref="M27:N27"/>
    <mergeCell ref="B11:C11"/>
    <mergeCell ref="D11:E11"/>
    <mergeCell ref="F11:G11"/>
    <mergeCell ref="H24:I24"/>
    <mergeCell ref="H25:I25"/>
    <mergeCell ref="N1:O1"/>
    <mergeCell ref="H1:I1"/>
    <mergeCell ref="J1:K1"/>
    <mergeCell ref="L1:M1"/>
    <mergeCell ref="B1:C1"/>
    <mergeCell ref="D1:E1"/>
    <mergeCell ref="F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8"/>
  <sheetViews>
    <sheetView zoomScale="89" workbookViewId="0">
      <selection activeCell="E29" sqref="E29"/>
    </sheetView>
  </sheetViews>
  <sheetFormatPr defaultColWidth="14" defaultRowHeight="15" customHeight="1"/>
  <cols>
    <col min="1" max="1" width="44.625" style="1" customWidth="1"/>
    <col min="2" max="2" width="14" style="1" customWidth="1"/>
    <col min="3" max="3" width="12.25" style="1" customWidth="1"/>
    <col min="4" max="4" width="14" style="1" customWidth="1"/>
    <col min="5" max="6" width="12.25" style="1" customWidth="1"/>
    <col min="7" max="8" width="8.75" style="1" customWidth="1"/>
    <col min="9" max="9" width="18.375" style="1" customWidth="1"/>
    <col min="10" max="13" width="8.75" style="1" customWidth="1"/>
    <col min="14" max="14" width="11" style="1" customWidth="1"/>
  </cols>
  <sheetData>
    <row r="1" spans="1:14">
      <c r="A1" s="21" t="s">
        <v>18</v>
      </c>
      <c r="B1" s="21">
        <v>2021</v>
      </c>
      <c r="C1" s="21">
        <v>2020</v>
      </c>
      <c r="D1" s="21">
        <v>2019</v>
      </c>
      <c r="E1" s="21">
        <v>2018</v>
      </c>
      <c r="F1" s="21">
        <v>2017</v>
      </c>
      <c r="G1" s="22"/>
      <c r="H1" s="22"/>
      <c r="I1" s="22"/>
      <c r="J1" s="22"/>
      <c r="K1" s="22"/>
      <c r="L1" s="22"/>
      <c r="M1" s="22"/>
      <c r="N1" s="22"/>
    </row>
    <row r="2" spans="1:14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1" t="s">
        <v>19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21" t="s">
        <v>20</v>
      </c>
      <c r="B4" s="23">
        <v>89432245</v>
      </c>
      <c r="C4" s="23">
        <v>73651718</v>
      </c>
      <c r="D4" s="23">
        <v>63039290</v>
      </c>
      <c r="E4" s="23">
        <v>49187645</v>
      </c>
      <c r="F4" s="23">
        <v>44239325</v>
      </c>
      <c r="G4" s="22"/>
      <c r="H4" s="22"/>
      <c r="I4" s="22"/>
      <c r="J4" s="22"/>
      <c r="K4" s="22"/>
      <c r="L4" s="22"/>
      <c r="M4" s="22"/>
      <c r="N4" s="22"/>
    </row>
    <row r="5" spans="1:14">
      <c r="A5" s="21" t="s">
        <v>21</v>
      </c>
      <c r="B5" s="23">
        <v>3556215</v>
      </c>
      <c r="C5" s="23">
        <v>8196147</v>
      </c>
      <c r="D5" s="23">
        <v>7886702</v>
      </c>
      <c r="E5" s="23">
        <v>4093402</v>
      </c>
      <c r="F5" s="23">
        <v>3193835</v>
      </c>
      <c r="G5" s="22"/>
      <c r="H5" s="22"/>
      <c r="I5" s="22"/>
      <c r="J5" s="22"/>
      <c r="K5" s="22"/>
      <c r="L5" s="22"/>
      <c r="M5" s="22"/>
      <c r="N5" s="22"/>
    </row>
    <row r="6" spans="1:14">
      <c r="A6" s="21" t="s">
        <v>22</v>
      </c>
      <c r="B6" s="22" t="s">
        <v>23</v>
      </c>
      <c r="C6" s="22" t="s">
        <v>23</v>
      </c>
      <c r="D6" s="23">
        <v>20405972</v>
      </c>
      <c r="E6" s="22" t="s">
        <v>23</v>
      </c>
      <c r="F6" s="23">
        <v>2250000</v>
      </c>
      <c r="G6" s="22"/>
      <c r="H6" s="22"/>
      <c r="I6" s="22"/>
      <c r="J6" s="22"/>
      <c r="K6" s="22"/>
      <c r="L6" s="22"/>
      <c r="M6" s="22"/>
      <c r="N6" s="22"/>
    </row>
    <row r="7" spans="1:14">
      <c r="A7" s="21" t="s">
        <v>24</v>
      </c>
      <c r="B7" s="23">
        <v>616231172</v>
      </c>
      <c r="C7" s="23">
        <v>449611987</v>
      </c>
      <c r="D7" s="23">
        <v>305435633</v>
      </c>
      <c r="E7" s="23">
        <v>260233987</v>
      </c>
      <c r="F7" s="23">
        <v>314956748</v>
      </c>
      <c r="G7" s="22"/>
      <c r="H7" s="22"/>
      <c r="I7" s="22"/>
      <c r="J7" s="22"/>
      <c r="K7" s="22"/>
      <c r="L7" s="22"/>
      <c r="M7" s="22"/>
      <c r="N7" s="22"/>
    </row>
    <row r="8" spans="1:14">
      <c r="A8" s="21" t="s">
        <v>25</v>
      </c>
      <c r="B8" s="23">
        <v>477673022</v>
      </c>
      <c r="C8" s="23">
        <v>395416055</v>
      </c>
      <c r="D8" s="23">
        <v>372913863</v>
      </c>
      <c r="E8" s="23">
        <v>343107147</v>
      </c>
      <c r="F8" s="23">
        <v>258693086</v>
      </c>
      <c r="G8" s="22"/>
      <c r="H8" s="22"/>
      <c r="I8" s="22"/>
      <c r="J8" s="22"/>
      <c r="K8" s="22"/>
      <c r="L8" s="22"/>
      <c r="M8" s="22"/>
      <c r="N8" s="22"/>
    </row>
    <row r="9" spans="1:14">
      <c r="A9" s="21" t="s">
        <v>26</v>
      </c>
      <c r="B9" s="23">
        <v>20179222</v>
      </c>
      <c r="C9" s="23">
        <v>21232750</v>
      </c>
      <c r="D9" s="23">
        <v>19696568</v>
      </c>
      <c r="E9" s="23">
        <v>12791827</v>
      </c>
      <c r="F9" s="23">
        <v>9885958</v>
      </c>
      <c r="G9" s="22"/>
      <c r="H9" s="22"/>
      <c r="I9" s="22"/>
      <c r="J9" s="22"/>
      <c r="K9" s="22"/>
      <c r="L9" s="22"/>
      <c r="M9" s="22"/>
      <c r="N9" s="22"/>
    </row>
    <row r="10" spans="1:14">
      <c r="A10" s="21" t="s">
        <v>27</v>
      </c>
      <c r="B10" s="23">
        <v>1188985</v>
      </c>
      <c r="C10" s="23">
        <v>1158857</v>
      </c>
      <c r="D10" s="23">
        <v>808994</v>
      </c>
      <c r="E10" s="23">
        <v>741361</v>
      </c>
      <c r="F10" s="23">
        <v>842869</v>
      </c>
      <c r="G10" s="22"/>
      <c r="H10" s="22"/>
      <c r="I10" s="22"/>
      <c r="J10" s="22"/>
      <c r="K10" s="22"/>
      <c r="L10" s="22"/>
      <c r="M10" s="22"/>
      <c r="N10" s="22"/>
    </row>
    <row r="11" spans="1:14">
      <c r="A11" s="21" t="s">
        <v>28</v>
      </c>
      <c r="B11" s="23">
        <v>5161697</v>
      </c>
      <c r="C11" s="23">
        <v>1597334</v>
      </c>
      <c r="D11" s="23">
        <v>2489752</v>
      </c>
      <c r="E11" s="23">
        <v>3773779</v>
      </c>
      <c r="F11" s="23">
        <v>100755</v>
      </c>
      <c r="G11" s="22"/>
      <c r="H11" s="22"/>
      <c r="I11" s="22"/>
      <c r="J11" s="22"/>
      <c r="K11" s="22"/>
      <c r="L11" s="22"/>
      <c r="M11" s="22"/>
      <c r="N11" s="22"/>
    </row>
    <row r="12" spans="1:14">
      <c r="A12" s="21" t="s">
        <v>29</v>
      </c>
      <c r="B12" s="23">
        <v>45906052</v>
      </c>
      <c r="C12" s="23">
        <v>42021813</v>
      </c>
      <c r="D12" s="23">
        <v>40450512</v>
      </c>
      <c r="E12" s="23">
        <v>32522174</v>
      </c>
      <c r="F12" s="23">
        <v>28448099</v>
      </c>
      <c r="G12" s="22"/>
      <c r="H12" s="22"/>
      <c r="I12" s="22"/>
      <c r="J12" s="22"/>
      <c r="K12" s="22"/>
      <c r="L12" s="22"/>
      <c r="M12" s="22"/>
      <c r="N12" s="22"/>
    </row>
    <row r="13" spans="1:14">
      <c r="A13" s="21"/>
      <c r="B13" s="22"/>
      <c r="C13" s="22"/>
      <c r="D13" s="23">
        <v>833208006</v>
      </c>
      <c r="E13" s="23">
        <v>706451322</v>
      </c>
      <c r="F13" s="23">
        <v>662610675</v>
      </c>
      <c r="G13" s="22"/>
      <c r="H13" s="22"/>
      <c r="I13" s="22"/>
      <c r="J13" s="22"/>
      <c r="K13" s="22"/>
      <c r="L13" s="22"/>
      <c r="M13" s="22"/>
      <c r="N13" s="22"/>
    </row>
    <row r="14" spans="1:14">
      <c r="A14" s="21" t="s">
        <v>30</v>
      </c>
      <c r="B14" s="22"/>
      <c r="C14" s="22"/>
      <c r="D14" s="22">
        <v>315741</v>
      </c>
      <c r="E14" s="23">
        <v>214757</v>
      </c>
      <c r="F14" s="23">
        <v>327949</v>
      </c>
      <c r="G14" s="22"/>
      <c r="H14" s="22"/>
      <c r="I14" s="24"/>
      <c r="J14" s="23"/>
      <c r="K14" s="22"/>
      <c r="L14" s="22"/>
      <c r="M14" s="22"/>
      <c r="N14" s="22"/>
    </row>
    <row r="15" spans="1:14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>
      <c r="A16" s="21"/>
      <c r="B16" s="22"/>
      <c r="C16" s="22"/>
      <c r="D16" s="22"/>
      <c r="E16" s="22"/>
      <c r="F16" s="22"/>
      <c r="G16" s="22"/>
      <c r="H16" s="22"/>
      <c r="I16" s="23"/>
      <c r="J16" s="22"/>
      <c r="K16" s="22"/>
      <c r="L16" s="22"/>
      <c r="M16" s="22"/>
      <c r="N16" s="22"/>
    </row>
    <row r="17" spans="1:14">
      <c r="A17" s="21" t="s">
        <v>31</v>
      </c>
      <c r="B17" s="23">
        <v>1259328610</v>
      </c>
      <c r="C17" s="23">
        <v>992886661</v>
      </c>
      <c r="D17" s="23">
        <v>833443027</v>
      </c>
      <c r="E17" s="23">
        <v>706666079</v>
      </c>
      <c r="F17" s="23">
        <v>662938624</v>
      </c>
      <c r="G17" s="22"/>
      <c r="H17" s="22"/>
      <c r="I17" s="22"/>
      <c r="J17" s="22"/>
      <c r="K17" s="22"/>
      <c r="L17" s="22"/>
      <c r="M17" s="22"/>
      <c r="N17" s="22"/>
    </row>
    <row r="18" spans="1:14">
      <c r="A18" s="21" t="s">
        <v>32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21" t="s">
        <v>33</v>
      </c>
      <c r="B19" s="23">
        <v>10235374</v>
      </c>
      <c r="C19" s="23">
        <v>12629996</v>
      </c>
      <c r="D19" s="23">
        <v>15768947</v>
      </c>
      <c r="E19" s="23">
        <v>15512880</v>
      </c>
      <c r="F19" s="23">
        <v>10769262</v>
      </c>
      <c r="G19" s="22"/>
      <c r="H19" s="22"/>
      <c r="I19" s="22"/>
      <c r="J19" s="22"/>
      <c r="K19" s="22"/>
      <c r="L19" s="22"/>
      <c r="M19" s="22"/>
      <c r="N19" s="22"/>
    </row>
    <row r="20" spans="1:14">
      <c r="A20" s="21" t="s">
        <v>34</v>
      </c>
      <c r="B20" s="23">
        <v>123563761</v>
      </c>
      <c r="C20" s="23">
        <v>84163669</v>
      </c>
      <c r="D20" s="23">
        <v>51187681</v>
      </c>
      <c r="E20" s="23">
        <v>52702323</v>
      </c>
      <c r="F20" s="23">
        <v>71587311</v>
      </c>
      <c r="G20" s="22"/>
      <c r="H20" s="22"/>
      <c r="I20" s="22"/>
      <c r="J20" s="22"/>
      <c r="K20" s="22"/>
      <c r="L20" s="22"/>
      <c r="M20" s="22"/>
      <c r="N20" s="22"/>
    </row>
    <row r="21" spans="1:14" ht="15.75" customHeight="1">
      <c r="A21" s="21" t="s">
        <v>35</v>
      </c>
      <c r="B21" s="23">
        <v>1015162254</v>
      </c>
      <c r="C21" s="23">
        <v>790982287</v>
      </c>
      <c r="D21" s="23">
        <v>679246312</v>
      </c>
      <c r="E21" s="23">
        <v>573596926</v>
      </c>
      <c r="F21" s="23">
        <v>525805051</v>
      </c>
      <c r="G21" s="22"/>
      <c r="H21" s="22"/>
      <c r="I21" s="22"/>
      <c r="J21" s="22"/>
      <c r="K21" s="22"/>
      <c r="L21" s="22"/>
      <c r="M21" s="22"/>
      <c r="N21" s="22"/>
    </row>
    <row r="22" spans="1:14" ht="15.75" customHeight="1">
      <c r="A22" s="21" t="s">
        <v>36</v>
      </c>
      <c r="B22" s="22" t="s">
        <v>23</v>
      </c>
      <c r="C22" s="22" t="s">
        <v>23</v>
      </c>
      <c r="D22" s="22" t="s">
        <v>23</v>
      </c>
      <c r="E22" s="22" t="s">
        <v>23</v>
      </c>
      <c r="F22" s="22" t="s">
        <v>23</v>
      </c>
      <c r="G22" s="22"/>
      <c r="H22" s="22"/>
      <c r="I22" s="22"/>
      <c r="J22" s="22"/>
      <c r="K22" s="22"/>
      <c r="L22" s="22"/>
      <c r="M22" s="22"/>
      <c r="N22" s="22"/>
    </row>
    <row r="23" spans="1:14" ht="15.75" customHeight="1">
      <c r="A23" s="21" t="s">
        <v>37</v>
      </c>
      <c r="B23" s="23">
        <v>12000000</v>
      </c>
      <c r="C23" s="23">
        <v>12000000</v>
      </c>
      <c r="D23" s="23">
        <v>9992000</v>
      </c>
      <c r="E23" s="23">
        <v>9993600</v>
      </c>
      <c r="F23" s="23">
        <v>4992800</v>
      </c>
      <c r="G23" s="22"/>
      <c r="H23" s="22"/>
      <c r="I23" s="22"/>
      <c r="J23" s="22"/>
      <c r="K23" s="22"/>
      <c r="L23" s="22"/>
      <c r="M23" s="22"/>
      <c r="N23" s="22"/>
    </row>
    <row r="24" spans="1:14" ht="15.75" customHeight="1">
      <c r="A24" s="21" t="s">
        <v>38</v>
      </c>
      <c r="B24" s="22" t="s">
        <v>23</v>
      </c>
      <c r="C24" s="22" t="s">
        <v>23</v>
      </c>
      <c r="D24" s="22" t="s">
        <v>23</v>
      </c>
      <c r="E24" s="22" t="s">
        <v>23</v>
      </c>
      <c r="F24" s="22" t="s">
        <v>23</v>
      </c>
      <c r="G24" s="22"/>
      <c r="H24" s="22"/>
      <c r="I24" s="22"/>
      <c r="J24" s="22"/>
      <c r="K24" s="22"/>
      <c r="L24" s="22"/>
      <c r="M24" s="22"/>
      <c r="N24" s="22"/>
    </row>
    <row r="25" spans="1:14" ht="15.75" customHeight="1">
      <c r="A25" s="21" t="s">
        <v>39</v>
      </c>
      <c r="B25" s="23">
        <v>42326358</v>
      </c>
      <c r="C25" s="23">
        <v>38429434</v>
      </c>
      <c r="D25" s="23">
        <v>34704048</v>
      </c>
      <c r="E25" s="23">
        <v>21178476</v>
      </c>
      <c r="F25" s="23">
        <v>17098223</v>
      </c>
      <c r="G25" s="22"/>
      <c r="H25" s="22"/>
      <c r="I25" s="22"/>
      <c r="J25" s="22"/>
      <c r="K25" s="22"/>
      <c r="L25" s="22"/>
      <c r="M25" s="22"/>
      <c r="N25" s="22"/>
    </row>
    <row r="26" spans="1:14" ht="15.75" customHeight="1">
      <c r="A26" s="21" t="s">
        <v>40</v>
      </c>
      <c r="B26" s="23">
        <v>1203287747</v>
      </c>
      <c r="C26" s="23">
        <v>938205386</v>
      </c>
      <c r="D26" s="23">
        <v>790898988</v>
      </c>
      <c r="E26" s="23">
        <v>672984205</v>
      </c>
      <c r="F26" s="23">
        <v>630252647</v>
      </c>
      <c r="G26" s="22"/>
      <c r="H26" s="22"/>
      <c r="I26" s="22"/>
      <c r="J26" s="22"/>
      <c r="K26" s="22"/>
      <c r="L26" s="22"/>
      <c r="M26" s="22"/>
      <c r="N26" s="22"/>
    </row>
    <row r="27" spans="1:14" ht="15.75" customHeight="1">
      <c r="A27" s="21" t="s">
        <v>41</v>
      </c>
      <c r="B27" s="22" t="s">
        <v>23</v>
      </c>
      <c r="C27" s="22" t="s">
        <v>23</v>
      </c>
      <c r="D27" s="22">
        <v>141856</v>
      </c>
      <c r="E27" s="23">
        <v>81513</v>
      </c>
      <c r="F27" s="23">
        <v>140741</v>
      </c>
      <c r="G27" s="22"/>
      <c r="H27" s="22"/>
      <c r="I27" s="22"/>
      <c r="J27" s="22"/>
      <c r="K27" s="22"/>
      <c r="L27" s="22"/>
      <c r="M27" s="22"/>
      <c r="N27" s="22"/>
    </row>
    <row r="28" spans="1:14" ht="15.75" customHeight="1">
      <c r="A28" s="21"/>
      <c r="B28" s="22"/>
      <c r="C28" s="22"/>
      <c r="D28" s="23">
        <v>791040844</v>
      </c>
      <c r="E28" s="23">
        <v>673065718</v>
      </c>
      <c r="F28" s="23">
        <v>630393388</v>
      </c>
      <c r="G28" s="22"/>
      <c r="H28" s="22"/>
      <c r="I28" s="22"/>
      <c r="J28" s="22"/>
      <c r="K28" s="22"/>
      <c r="L28" s="22"/>
      <c r="M28" s="22"/>
      <c r="N28" s="23"/>
    </row>
    <row r="29" spans="1:14" ht="15.75" customHeight="1">
      <c r="A29" s="21" t="s">
        <v>42</v>
      </c>
      <c r="B29" s="23">
        <v>56040863</v>
      </c>
      <c r="C29" s="23">
        <v>54681275</v>
      </c>
      <c r="D29" s="23">
        <v>42402183</v>
      </c>
      <c r="E29" s="23">
        <v>33600361</v>
      </c>
      <c r="F29" s="23">
        <v>32545236</v>
      </c>
      <c r="G29" s="22"/>
      <c r="H29" s="22"/>
      <c r="I29" s="22"/>
      <c r="J29" s="22"/>
      <c r="K29" s="22"/>
      <c r="L29" s="22"/>
      <c r="M29" s="22"/>
      <c r="N29" s="22"/>
    </row>
    <row r="30" spans="1:14" ht="15.75" customHeight="1">
      <c r="A30" s="21" t="s">
        <v>43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14" ht="15.75" customHeight="1">
      <c r="A31" s="21" t="s">
        <v>44</v>
      </c>
      <c r="B31" s="23">
        <v>12602602</v>
      </c>
      <c r="C31" s="23">
        <v>12602602</v>
      </c>
      <c r="D31" s="23">
        <v>12602602</v>
      </c>
      <c r="E31" s="23">
        <v>12602602</v>
      </c>
      <c r="F31" s="23">
        <v>12602602</v>
      </c>
      <c r="G31" s="22"/>
      <c r="H31" s="22"/>
      <c r="I31" s="22"/>
      <c r="J31" s="22"/>
      <c r="K31" s="22"/>
      <c r="L31" s="22"/>
      <c r="M31" s="22"/>
      <c r="N31" s="22"/>
    </row>
    <row r="32" spans="1:14" ht="15.75" customHeight="1">
      <c r="A32" s="21" t="s">
        <v>45</v>
      </c>
      <c r="B32" s="23">
        <v>32832051</v>
      </c>
      <c r="C32" s="23">
        <v>25701665</v>
      </c>
      <c r="D32" s="23">
        <v>19408889</v>
      </c>
      <c r="E32" s="23">
        <v>15588694</v>
      </c>
      <c r="F32" s="23">
        <v>12032263</v>
      </c>
      <c r="G32" s="22"/>
      <c r="H32" s="22"/>
      <c r="I32" s="22"/>
      <c r="J32" s="22"/>
      <c r="K32" s="22"/>
      <c r="L32" s="22"/>
      <c r="M32" s="22"/>
      <c r="N32" s="22"/>
    </row>
    <row r="33" spans="1:14" ht="15.75" customHeight="1">
      <c r="A33" s="21" t="s">
        <v>46</v>
      </c>
      <c r="B33" s="23">
        <v>1987976</v>
      </c>
      <c r="C33" s="23">
        <v>7670955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ht="15.75" customHeight="1">
      <c r="A34" s="21" t="s">
        <v>47</v>
      </c>
      <c r="B34" s="23">
        <v>8618234</v>
      </c>
      <c r="C34" s="23">
        <v>8706053</v>
      </c>
      <c r="D34" s="23">
        <v>4300426</v>
      </c>
      <c r="E34" s="23">
        <v>1649197</v>
      </c>
      <c r="F34" s="23">
        <v>5142254</v>
      </c>
      <c r="G34" s="22"/>
      <c r="H34" s="22"/>
      <c r="I34" s="22"/>
      <c r="J34" s="22"/>
      <c r="K34" s="22"/>
      <c r="L34" s="22"/>
      <c r="M34" s="22"/>
      <c r="N34" s="22"/>
    </row>
    <row r="35" spans="1:14" ht="15.75" customHeight="1">
      <c r="A35" s="21" t="s">
        <v>48</v>
      </c>
      <c r="B35" s="22"/>
      <c r="C35" s="22"/>
      <c r="D35" s="23">
        <v>39467</v>
      </c>
      <c r="E35" s="23">
        <v>5723</v>
      </c>
      <c r="F35" s="23">
        <v>19877</v>
      </c>
      <c r="G35" s="22"/>
      <c r="H35" s="22"/>
      <c r="I35" s="22"/>
      <c r="J35" s="22"/>
      <c r="K35" s="22"/>
      <c r="L35" s="22"/>
      <c r="M35" s="22"/>
      <c r="N35" s="22"/>
    </row>
    <row r="36" spans="1:14" ht="15.75" customHeight="1">
      <c r="A36" s="21" t="s">
        <v>49</v>
      </c>
      <c r="B36" s="22"/>
      <c r="C36" s="22"/>
      <c r="D36" s="23">
        <v>6002253</v>
      </c>
      <c r="E36" s="23">
        <v>3710867</v>
      </c>
      <c r="F36" s="23">
        <v>2703887</v>
      </c>
      <c r="G36" s="22"/>
      <c r="H36" s="22"/>
      <c r="I36" s="22"/>
      <c r="J36" s="22"/>
      <c r="K36" s="22"/>
      <c r="L36" s="22"/>
      <c r="M36" s="22"/>
      <c r="N36" s="22"/>
    </row>
    <row r="37" spans="1:14" ht="15.75" customHeight="1">
      <c r="A37" s="21"/>
      <c r="B37" s="22"/>
      <c r="C37" s="22"/>
      <c r="D37" s="23">
        <v>42353637</v>
      </c>
      <c r="E37" s="23">
        <v>33557083</v>
      </c>
      <c r="F37" s="23">
        <v>32500883</v>
      </c>
      <c r="G37" s="22"/>
      <c r="H37" s="22"/>
      <c r="I37" s="22"/>
      <c r="J37" s="22"/>
      <c r="K37" s="22"/>
      <c r="L37" s="22"/>
      <c r="M37" s="22"/>
      <c r="N37" s="22"/>
    </row>
    <row r="38" spans="1:14" ht="15.7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 ht="15.75" customHeight="1">
      <c r="A39" s="21" t="s">
        <v>50</v>
      </c>
      <c r="B39" s="22" t="s">
        <v>23</v>
      </c>
      <c r="C39" s="22" t="s">
        <v>23</v>
      </c>
      <c r="D39" s="23">
        <v>48546</v>
      </c>
      <c r="E39" s="23">
        <v>43278</v>
      </c>
      <c r="F39" s="23">
        <v>44353</v>
      </c>
      <c r="G39" s="22"/>
      <c r="H39" s="22"/>
      <c r="I39" s="22"/>
      <c r="J39" s="22"/>
      <c r="K39" s="22"/>
      <c r="L39" s="22"/>
      <c r="M39" s="22"/>
      <c r="N39" s="22"/>
    </row>
    <row r="40" spans="1:14" ht="15.75" customHeight="1">
      <c r="A40" s="22"/>
      <c r="B40" s="22"/>
      <c r="C40" s="22"/>
      <c r="D40" s="22"/>
      <c r="E40" s="23"/>
      <c r="F40" s="22"/>
      <c r="G40" s="22"/>
      <c r="H40" s="22"/>
      <c r="I40" s="22"/>
      <c r="J40" s="22"/>
      <c r="K40" s="22"/>
      <c r="L40" s="22"/>
      <c r="M40" s="22"/>
      <c r="N40" s="22"/>
    </row>
    <row r="41" spans="1:14" ht="15.75" customHeight="1">
      <c r="A41" s="21" t="s">
        <v>51</v>
      </c>
      <c r="B41" s="23">
        <v>56040863</v>
      </c>
      <c r="C41" s="23">
        <v>54681275</v>
      </c>
      <c r="D41" s="23">
        <v>42402183</v>
      </c>
      <c r="E41" s="23">
        <v>33600361</v>
      </c>
      <c r="F41" s="23">
        <v>32545236</v>
      </c>
      <c r="G41" s="22"/>
      <c r="H41" s="22"/>
      <c r="I41" s="22"/>
      <c r="J41" s="22"/>
      <c r="K41" s="22"/>
      <c r="L41" s="22"/>
      <c r="M41" s="22"/>
      <c r="N41" s="22"/>
    </row>
    <row r="42" spans="1:14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14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1:1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1:14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14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1:14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14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14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1:1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14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1:14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1:14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4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14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1:14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14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1:14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1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4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1:14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4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1:14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4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4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1:1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4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1:14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1:14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1:14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1:14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1:14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1:14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1:14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1:1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1:14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4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4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 spans="1:14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</row>
    <row r="109" spans="1:14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 spans="1:14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 spans="1:14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 spans="1:14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 spans="1:14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 spans="1:14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 spans="1:14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 spans="1:14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 spans="1:14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</row>
    <row r="121" spans="1:14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</row>
    <row r="122" spans="1:14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</row>
    <row r="123" spans="1:14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</row>
    <row r="124" spans="1:1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</row>
    <row r="125" spans="1:14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</row>
    <row r="126" spans="1:14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</row>
    <row r="127" spans="1:14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</row>
    <row r="128" spans="1:14" ht="15.75" customHeight="1">
      <c r="A128" s="22"/>
      <c r="B128" s="22"/>
      <c r="C128" s="22"/>
      <c r="D128" s="22">
        <v>512.76869165986966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</row>
    <row r="129" spans="1:14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</row>
    <row r="130" spans="1:14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</row>
    <row r="131" spans="1:14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</row>
    <row r="132" spans="1:14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</row>
    <row r="133" spans="1:14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</row>
    <row r="134" spans="1:1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</row>
    <row r="135" spans="1:14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</row>
    <row r="136" spans="1:14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</row>
    <row r="137" spans="1:14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</row>
    <row r="138" spans="1:14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</row>
    <row r="139" spans="1:14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</row>
    <row r="140" spans="1:14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</row>
    <row r="141" spans="1:14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</row>
    <row r="142" spans="1:14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</row>
    <row r="143" spans="1:14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</row>
    <row r="144" spans="1:1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</row>
    <row r="145" spans="1:14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</row>
    <row r="146" spans="1:14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</row>
    <row r="147" spans="1:14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</row>
    <row r="148" spans="1:14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</row>
    <row r="149" spans="1:14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</row>
    <row r="150" spans="1:14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</row>
    <row r="151" spans="1:14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</row>
    <row r="152" spans="1:14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</row>
    <row r="153" spans="1:14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</row>
    <row r="154" spans="1:1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</row>
    <row r="155" spans="1:14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</row>
    <row r="156" spans="1:14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</row>
    <row r="157" spans="1:14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</row>
    <row r="158" spans="1:14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</row>
    <row r="159" spans="1:14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</row>
    <row r="160" spans="1:14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</row>
    <row r="161" spans="1:14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</row>
    <row r="162" spans="1:14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</row>
    <row r="163" spans="1:14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</row>
    <row r="165" spans="1:14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</row>
    <row r="166" spans="1:14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</row>
    <row r="167" spans="1:14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</row>
    <row r="168" spans="1:14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</row>
    <row r="169" spans="1:14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</row>
    <row r="170" spans="1:14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</row>
    <row r="172" spans="1:14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</row>
    <row r="173" spans="1:14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</row>
    <row r="174" spans="1:1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</row>
    <row r="175" spans="1:14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</row>
    <row r="176" spans="1:14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</row>
    <row r="177" spans="1:14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</row>
    <row r="178" spans="1:14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</row>
    <row r="179" spans="1:14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</row>
    <row r="180" spans="1:14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</row>
    <row r="181" spans="1:14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</row>
    <row r="182" spans="1:14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</row>
    <row r="183" spans="1:14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</row>
    <row r="184" spans="1:1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</row>
    <row r="185" spans="1:14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</row>
    <row r="186" spans="1:14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</row>
    <row r="187" spans="1:14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</row>
    <row r="188" spans="1:14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</row>
    <row r="189" spans="1:14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</row>
    <row r="190" spans="1:14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</row>
    <row r="191" spans="1:14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</row>
    <row r="192" spans="1:14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</row>
    <row r="193" spans="1:14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</row>
    <row r="194" spans="1:1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</row>
    <row r="195" spans="1:14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</row>
    <row r="196" spans="1:14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</row>
    <row r="197" spans="1:14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</row>
    <row r="198" spans="1:14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</row>
    <row r="199" spans="1:14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</row>
    <row r="200" spans="1:14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</row>
    <row r="201" spans="1:14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</row>
    <row r="202" spans="1:14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</row>
    <row r="203" spans="1:14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</row>
    <row r="204" spans="1:1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</row>
    <row r="205" spans="1:14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</row>
    <row r="206" spans="1:14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</row>
    <row r="207" spans="1:14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</row>
    <row r="208" spans="1:14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</row>
    <row r="209" spans="1:14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</row>
    <row r="210" spans="1:14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</row>
    <row r="211" spans="1:14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</row>
    <row r="212" spans="1:14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</row>
    <row r="213" spans="1:14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</row>
    <row r="214" spans="1: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</row>
    <row r="215" spans="1:14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</row>
    <row r="216" spans="1:14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</row>
    <row r="217" spans="1:14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</row>
    <row r="218" spans="1:14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</row>
    <row r="219" spans="1:14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</row>
    <row r="220" spans="1:14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</row>
    <row r="221" spans="1:14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</row>
    <row r="222" spans="1:14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</row>
    <row r="223" spans="1:14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</row>
    <row r="224" spans="1:1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</row>
    <row r="225" spans="1:14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</row>
    <row r="226" spans="1:14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</row>
    <row r="227" spans="1:14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</row>
    <row r="228" spans="1:14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</row>
    <row r="229" spans="1:14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</row>
    <row r="230" spans="1:14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</row>
    <row r="231" spans="1:14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</row>
    <row r="232" spans="1:14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</row>
    <row r="233" spans="1:14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</row>
    <row r="234" spans="1:1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</row>
    <row r="235" spans="1:14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</row>
    <row r="236" spans="1:14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</row>
    <row r="237" spans="1:14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</row>
    <row r="238" spans="1:14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</row>
    <row r="239" spans="1:14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</row>
    <row r="240" spans="1:14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</row>
    <row r="241" spans="1:14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</row>
    <row r="242" spans="1:14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</row>
    <row r="243" spans="1:14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</row>
    <row r="244" spans="1:1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</row>
    <row r="245" spans="1:14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 spans="1:14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</row>
    <row r="247" spans="1:14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</row>
    <row r="248" spans="1:14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</row>
    <row r="249" spans="1:14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</row>
    <row r="250" spans="1:14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</row>
    <row r="251" spans="1:14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</row>
    <row r="252" spans="1:14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</row>
    <row r="253" spans="1:14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</row>
    <row r="254" spans="1:1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</row>
    <row r="255" spans="1:14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</row>
    <row r="256" spans="1:14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</row>
    <row r="257" spans="1:14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</row>
    <row r="258" spans="1:14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</row>
    <row r="259" spans="1:14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</row>
    <row r="260" spans="1:14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</row>
    <row r="261" spans="1:14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</row>
    <row r="262" spans="1:14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</row>
    <row r="263" spans="1:14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</row>
    <row r="264" spans="1:1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</row>
    <row r="265" spans="1:14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</row>
    <row r="266" spans="1:14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</row>
    <row r="267" spans="1:14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</row>
    <row r="268" spans="1:14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</row>
    <row r="269" spans="1:14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</row>
    <row r="270" spans="1:14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</row>
    <row r="271" spans="1:14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</row>
    <row r="272" spans="1:14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</row>
    <row r="273" spans="1:14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</row>
    <row r="274" spans="1:1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</row>
    <row r="275" spans="1:14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</row>
    <row r="276" spans="1:14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</row>
    <row r="277" spans="1:14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</row>
    <row r="278" spans="1:14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</row>
    <row r="279" spans="1:14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</row>
    <row r="280" spans="1:14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</row>
    <row r="281" spans="1:14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</row>
    <row r="282" spans="1:14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</row>
    <row r="283" spans="1:14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</row>
    <row r="284" spans="1:1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</row>
    <row r="285" spans="1:14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</row>
    <row r="286" spans="1:14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</row>
    <row r="287" spans="1:14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</row>
    <row r="288" spans="1:14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</row>
    <row r="289" spans="1:14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</row>
    <row r="290" spans="1:14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</row>
    <row r="291" spans="1:14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</row>
    <row r="292" spans="1:14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</row>
    <row r="293" spans="1:14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</row>
    <row r="294" spans="1:1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</row>
    <row r="295" spans="1:14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</row>
    <row r="296" spans="1:14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</row>
    <row r="297" spans="1:14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</row>
    <row r="298" spans="1:14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</row>
    <row r="299" spans="1:14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</row>
    <row r="300" spans="1:14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</row>
    <row r="301" spans="1:14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</row>
    <row r="302" spans="1:14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</row>
    <row r="303" spans="1:14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</row>
    <row r="304" spans="1:1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</row>
    <row r="305" spans="1:14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</row>
    <row r="306" spans="1:14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</row>
    <row r="307" spans="1:14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</row>
    <row r="308" spans="1:14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</row>
    <row r="309" spans="1:14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</row>
    <row r="310" spans="1:14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</row>
    <row r="311" spans="1:14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</row>
    <row r="312" spans="1:14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</row>
    <row r="313" spans="1:14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</row>
    <row r="314" spans="1: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</row>
    <row r="315" spans="1:14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</row>
    <row r="316" spans="1:14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</row>
    <row r="317" spans="1:14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</row>
    <row r="318" spans="1:14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</row>
    <row r="319" spans="1:14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</row>
    <row r="320" spans="1:14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</row>
    <row r="321" spans="1:14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</row>
    <row r="322" spans="1:14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</row>
    <row r="323" spans="1:14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</row>
    <row r="324" spans="1:1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</row>
    <row r="325" spans="1:14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</row>
    <row r="326" spans="1:14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</row>
    <row r="327" spans="1:14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</row>
    <row r="328" spans="1:14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</row>
  </sheetData>
  <pageMargins left="0.7" right="0.7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2"/>
  <sheetViews>
    <sheetView workbookViewId="0"/>
  </sheetViews>
  <sheetFormatPr defaultColWidth="14" defaultRowHeight="15" customHeight="1"/>
  <cols>
    <col min="1" max="1" width="50.25" style="1" customWidth="1"/>
    <col min="2" max="4" width="12.25" style="1" customWidth="1"/>
    <col min="5" max="6" width="11.125" style="1" customWidth="1"/>
    <col min="7" max="8" width="8.75" style="1" customWidth="1"/>
    <col min="9" max="9" width="15.125" style="1" customWidth="1"/>
  </cols>
  <sheetData>
    <row r="1" spans="1:11">
      <c r="A1" s="25" t="s">
        <v>18</v>
      </c>
      <c r="B1" s="25">
        <v>2021</v>
      </c>
      <c r="C1" s="25">
        <v>2020</v>
      </c>
      <c r="D1" s="25">
        <v>2019</v>
      </c>
      <c r="E1" s="25">
        <v>2018</v>
      </c>
      <c r="F1" s="25">
        <v>2017</v>
      </c>
      <c r="G1" s="26"/>
      <c r="H1" s="26"/>
      <c r="I1" s="26"/>
      <c r="J1" s="26"/>
      <c r="K1" s="26"/>
    </row>
    <row r="2" spans="1:11">
      <c r="A2" s="25"/>
      <c r="B2" s="27"/>
      <c r="C2" s="26"/>
      <c r="D2" s="26"/>
      <c r="E2" s="26"/>
      <c r="F2" s="26"/>
      <c r="G2" s="26"/>
      <c r="H2" s="26"/>
      <c r="I2" s="26"/>
      <c r="J2" s="26"/>
      <c r="K2" s="26"/>
    </row>
    <row r="3" spans="1:11">
      <c r="A3" s="25" t="s">
        <v>52</v>
      </c>
      <c r="B3" s="27" t="s">
        <v>53</v>
      </c>
      <c r="C3" s="27" t="s">
        <v>54</v>
      </c>
      <c r="D3" s="27">
        <v>71704373</v>
      </c>
      <c r="E3" s="27">
        <v>43669883</v>
      </c>
      <c r="F3" s="27">
        <v>36267220</v>
      </c>
      <c r="G3" s="26"/>
      <c r="H3" s="26"/>
      <c r="I3" s="26"/>
      <c r="J3" s="26"/>
      <c r="K3" s="26"/>
    </row>
    <row r="4" spans="1:11">
      <c r="A4" s="25" t="s">
        <v>55</v>
      </c>
      <c r="B4" s="28">
        <v>45139897</v>
      </c>
      <c r="C4" s="28">
        <v>48842539</v>
      </c>
      <c r="D4" s="28">
        <v>49567851</v>
      </c>
      <c r="E4" s="28">
        <v>25059925</v>
      </c>
      <c r="F4" s="28">
        <v>20071958</v>
      </c>
      <c r="G4" s="26"/>
      <c r="H4" s="26"/>
      <c r="I4" s="26"/>
      <c r="J4" s="26"/>
      <c r="K4" s="26"/>
    </row>
    <row r="5" spans="1:11">
      <c r="A5" s="25" t="s">
        <v>56</v>
      </c>
      <c r="B5" s="28">
        <v>32429546</v>
      </c>
      <c r="C5" s="28">
        <v>30275781</v>
      </c>
      <c r="D5" s="28">
        <v>22136522</v>
      </c>
      <c r="E5" s="28">
        <v>18609958</v>
      </c>
      <c r="F5" s="28">
        <v>16195262</v>
      </c>
      <c r="G5" s="26"/>
      <c r="H5" s="26"/>
      <c r="I5" s="26"/>
      <c r="J5" s="26"/>
      <c r="K5" s="26"/>
    </row>
    <row r="6" spans="1:11">
      <c r="A6" s="25" t="s">
        <v>57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25" t="s">
        <v>58</v>
      </c>
      <c r="B7" s="28">
        <v>4785268</v>
      </c>
      <c r="C7" s="28">
        <v>3991285</v>
      </c>
      <c r="D7" s="28">
        <v>3616428</v>
      </c>
      <c r="E7" s="28">
        <v>3116070</v>
      </c>
      <c r="F7" s="28">
        <v>2706794</v>
      </c>
      <c r="G7" s="26"/>
      <c r="H7" s="26"/>
      <c r="I7" s="28"/>
      <c r="J7" s="26"/>
      <c r="K7" s="26"/>
    </row>
    <row r="8" spans="1:11">
      <c r="A8" s="25" t="s">
        <v>59</v>
      </c>
      <c r="B8" s="28">
        <v>421964</v>
      </c>
      <c r="C8" s="28">
        <v>273524</v>
      </c>
      <c r="D8" s="28">
        <v>274440</v>
      </c>
      <c r="E8" s="28">
        <v>231312</v>
      </c>
      <c r="F8" s="28">
        <v>302894</v>
      </c>
      <c r="G8" s="26"/>
      <c r="H8" s="26"/>
      <c r="I8" s="26"/>
      <c r="J8" s="26"/>
      <c r="K8" s="26"/>
    </row>
    <row r="9" spans="1:11">
      <c r="A9" s="25" t="s">
        <v>60</v>
      </c>
      <c r="B9" s="28">
        <v>3123524</v>
      </c>
      <c r="C9" s="28">
        <v>2673493</v>
      </c>
      <c r="D9" s="28">
        <v>2507707</v>
      </c>
      <c r="E9" s="28">
        <v>1596027</v>
      </c>
      <c r="F9" s="28">
        <v>843032</v>
      </c>
      <c r="G9" s="26"/>
      <c r="H9" s="26"/>
      <c r="I9" s="26"/>
      <c r="J9" s="26"/>
      <c r="K9" s="26"/>
    </row>
    <row r="10" spans="1:11">
      <c r="A10" s="25" t="s">
        <v>61</v>
      </c>
      <c r="B10" s="26" t="s">
        <v>23</v>
      </c>
      <c r="C10" s="26" t="s">
        <v>23</v>
      </c>
      <c r="D10" s="26" t="s">
        <v>23</v>
      </c>
      <c r="E10" s="26" t="s">
        <v>23</v>
      </c>
      <c r="F10" s="26" t="s">
        <v>23</v>
      </c>
      <c r="G10" s="26"/>
      <c r="H10" s="26"/>
      <c r="I10" s="26"/>
      <c r="J10" s="26"/>
      <c r="K10" s="26"/>
    </row>
    <row r="11" spans="1:11">
      <c r="A11" s="25" t="s">
        <v>62</v>
      </c>
      <c r="B11" s="23">
        <v>814724</v>
      </c>
      <c r="C11" s="23">
        <v>2555400</v>
      </c>
      <c r="D11" s="23">
        <v>739351</v>
      </c>
      <c r="E11" s="23">
        <v>260103</v>
      </c>
      <c r="F11" s="23">
        <v>2063043</v>
      </c>
      <c r="G11" s="26"/>
      <c r="H11" s="26"/>
      <c r="I11" s="26"/>
      <c r="J11" s="26"/>
      <c r="K11" s="26"/>
    </row>
    <row r="12" spans="1:11">
      <c r="A12" s="25" t="s">
        <v>63</v>
      </c>
      <c r="B12" s="28">
        <v>402118</v>
      </c>
      <c r="C12" s="28">
        <v>349438</v>
      </c>
      <c r="D12" s="28">
        <v>266102</v>
      </c>
      <c r="E12" s="28">
        <v>418081</v>
      </c>
      <c r="F12" s="28">
        <v>200341</v>
      </c>
      <c r="G12" s="26"/>
      <c r="H12" s="26"/>
      <c r="I12" s="26"/>
      <c r="J12" s="26"/>
      <c r="K12" s="26"/>
    </row>
    <row r="13" spans="1:11">
      <c r="A13" s="25" t="s">
        <v>64</v>
      </c>
      <c r="B13" s="28">
        <v>9547598</v>
      </c>
      <c r="C13" s="28">
        <v>9843140</v>
      </c>
      <c r="D13" s="28">
        <v>7404028</v>
      </c>
      <c r="E13" s="28">
        <v>5621593</v>
      </c>
      <c r="F13" s="28">
        <v>6116104</v>
      </c>
      <c r="G13" s="26"/>
      <c r="H13" s="26"/>
      <c r="I13" s="26"/>
      <c r="J13" s="26"/>
      <c r="K13" s="26"/>
    </row>
    <row r="14" spans="1:11">
      <c r="A14" s="25" t="s">
        <v>65</v>
      </c>
      <c r="B14" s="28">
        <v>41977144</v>
      </c>
      <c r="C14" s="28">
        <v>40118921</v>
      </c>
      <c r="D14" s="28">
        <v>29540550</v>
      </c>
      <c r="E14" s="28">
        <v>24231551</v>
      </c>
      <c r="F14" s="28">
        <v>22311366</v>
      </c>
      <c r="G14" s="26"/>
      <c r="H14" s="26"/>
      <c r="I14" s="26"/>
      <c r="J14" s="26"/>
      <c r="K14" s="26"/>
    </row>
    <row r="15" spans="1:11">
      <c r="A15" s="25" t="s">
        <v>66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25" t="s">
        <v>67</v>
      </c>
      <c r="B16" s="28">
        <v>21017376</v>
      </c>
      <c r="C16" s="28">
        <v>20217974</v>
      </c>
      <c r="D16" s="28">
        <v>18235061</v>
      </c>
      <c r="E16" s="28">
        <v>16240514</v>
      </c>
      <c r="F16" s="28">
        <v>14948796</v>
      </c>
      <c r="G16" s="26"/>
      <c r="H16" s="26"/>
      <c r="I16" s="26"/>
      <c r="J16" s="26"/>
      <c r="K16" s="26"/>
    </row>
    <row r="17" spans="1:11">
      <c r="A17" s="25" t="s">
        <v>68</v>
      </c>
      <c r="B17" s="28">
        <v>213484</v>
      </c>
      <c r="C17" s="28">
        <v>42982</v>
      </c>
      <c r="D17" s="28">
        <v>42117</v>
      </c>
      <c r="E17" s="28">
        <v>-540060</v>
      </c>
      <c r="F17" s="28">
        <v>169833</v>
      </c>
      <c r="G17" s="26"/>
      <c r="H17" s="26"/>
      <c r="I17" s="28"/>
      <c r="J17" s="26"/>
      <c r="K17" s="26"/>
    </row>
    <row r="18" spans="1:11">
      <c r="A18" s="25" t="s">
        <v>69</v>
      </c>
      <c r="B18" s="28">
        <v>90139</v>
      </c>
      <c r="C18" s="28">
        <v>48149</v>
      </c>
      <c r="D18" s="28">
        <v>99947</v>
      </c>
      <c r="E18" s="28">
        <v>191067</v>
      </c>
      <c r="F18" s="28">
        <v>23568</v>
      </c>
      <c r="G18" s="26"/>
      <c r="H18" s="26"/>
      <c r="I18" s="26"/>
      <c r="J18" s="26"/>
      <c r="K18" s="26"/>
    </row>
    <row r="19" spans="1:11">
      <c r="A19" s="26"/>
      <c r="B19" s="28">
        <v>21320999</v>
      </c>
      <c r="C19" s="28">
        <v>20309105</v>
      </c>
      <c r="D19" s="28">
        <v>18377125</v>
      </c>
      <c r="E19" s="28">
        <v>15891521</v>
      </c>
      <c r="F19" s="28">
        <v>15142197</v>
      </c>
      <c r="G19" s="26"/>
      <c r="H19" s="26"/>
      <c r="I19" s="26"/>
      <c r="J19" s="26"/>
      <c r="K19" s="26"/>
    </row>
    <row r="20" spans="1:11">
      <c r="A20" s="25" t="s">
        <v>70</v>
      </c>
      <c r="B20" s="28">
        <v>20656145</v>
      </c>
      <c r="C20" s="28">
        <v>19809816</v>
      </c>
      <c r="D20" s="28">
        <v>11163425</v>
      </c>
      <c r="E20" s="28">
        <v>8340030</v>
      </c>
      <c r="F20" s="28">
        <v>7169169</v>
      </c>
      <c r="G20" s="26"/>
      <c r="H20" s="26"/>
      <c r="I20" s="26"/>
      <c r="J20" s="26"/>
      <c r="K20" s="26"/>
    </row>
    <row r="21" spans="1:11" ht="15.75" customHeight="1">
      <c r="A21" s="25" t="s">
        <v>71</v>
      </c>
      <c r="B21" s="28">
        <v>4983944</v>
      </c>
      <c r="C21" s="28">
        <v>1974747</v>
      </c>
      <c r="D21" s="28">
        <v>773275</v>
      </c>
      <c r="E21" s="28">
        <v>1460575</v>
      </c>
      <c r="F21" s="28">
        <v>-1176432</v>
      </c>
      <c r="G21" s="26"/>
      <c r="H21" s="26"/>
      <c r="I21" s="26"/>
      <c r="J21" s="26"/>
      <c r="K21" s="26"/>
    </row>
    <row r="22" spans="1:11" ht="15.75" customHeight="1">
      <c r="A22" s="25" t="s">
        <v>72</v>
      </c>
      <c r="B22" s="26" t="s">
        <v>23</v>
      </c>
      <c r="C22" s="26" t="s">
        <v>23</v>
      </c>
      <c r="D22" s="26" t="s">
        <v>23</v>
      </c>
      <c r="E22" s="26" t="s">
        <v>23</v>
      </c>
      <c r="F22" s="26" t="s">
        <v>23</v>
      </c>
      <c r="G22" s="26"/>
      <c r="H22" s="26"/>
      <c r="I22" s="26"/>
      <c r="J22" s="26"/>
      <c r="K22" s="26"/>
    </row>
    <row r="23" spans="1:11" ht="15.75" customHeight="1">
      <c r="A23" s="25" t="s">
        <v>73</v>
      </c>
      <c r="B23" s="28">
        <v>15672201</v>
      </c>
      <c r="C23" s="28">
        <v>17835069</v>
      </c>
      <c r="D23" s="28">
        <v>10390150</v>
      </c>
      <c r="E23" s="28">
        <v>6879455</v>
      </c>
      <c r="F23" s="28">
        <v>8345601</v>
      </c>
      <c r="G23" s="26"/>
      <c r="H23" s="26"/>
      <c r="I23" s="26"/>
      <c r="J23" s="26"/>
      <c r="K23" s="26"/>
    </row>
    <row r="24" spans="1:11" ht="15.75" customHeight="1">
      <c r="A24" s="25" t="s">
        <v>74</v>
      </c>
      <c r="B24" s="28">
        <v>-5956468</v>
      </c>
      <c r="C24" s="28">
        <v>-6978072</v>
      </c>
      <c r="D24" s="28">
        <v>3372249</v>
      </c>
      <c r="E24" s="28">
        <v>-2448177</v>
      </c>
      <c r="F24" s="28">
        <v>-3223915</v>
      </c>
      <c r="G24" s="26"/>
      <c r="H24" s="26"/>
      <c r="I24" s="26"/>
      <c r="J24" s="26"/>
      <c r="K24" s="26"/>
    </row>
    <row r="25" spans="1:11" ht="15.75" customHeight="1">
      <c r="A25" s="25" t="s">
        <v>75</v>
      </c>
      <c r="B25" s="28">
        <v>9715733</v>
      </c>
      <c r="C25" s="28">
        <v>10856997</v>
      </c>
      <c r="D25" s="28">
        <v>7017901</v>
      </c>
      <c r="E25" s="28">
        <v>4431278</v>
      </c>
      <c r="F25" s="28">
        <v>5121686</v>
      </c>
      <c r="G25" s="26"/>
      <c r="H25" s="26"/>
      <c r="I25" s="26"/>
      <c r="J25" s="26"/>
      <c r="K25" s="26"/>
    </row>
    <row r="26" spans="1:11" ht="15.75" customHeight="1">
      <c r="A26" s="25" t="s">
        <v>76</v>
      </c>
      <c r="B26" s="26"/>
      <c r="C26" s="26"/>
      <c r="D26" s="26">
        <v>14669</v>
      </c>
      <c r="E26" s="28">
        <v>-2659</v>
      </c>
      <c r="F26" s="28">
        <v>6611</v>
      </c>
      <c r="G26" s="26"/>
      <c r="H26" s="26"/>
      <c r="I26" s="26"/>
      <c r="J26" s="26"/>
      <c r="K26" s="26"/>
    </row>
    <row r="27" spans="1:11" ht="15.75" customHeight="1">
      <c r="A27" s="25" t="s">
        <v>77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15.75" customHeight="1">
      <c r="A28" s="25" t="s">
        <v>78</v>
      </c>
      <c r="B28" s="28">
        <v>9715733</v>
      </c>
      <c r="C28" s="28">
        <v>10846333</v>
      </c>
      <c r="D28" s="28">
        <v>7028756</v>
      </c>
      <c r="E28" s="28">
        <v>4429310</v>
      </c>
      <c r="F28" s="28">
        <v>5121863</v>
      </c>
      <c r="G28" s="26"/>
      <c r="H28" s="26"/>
      <c r="I28" s="26"/>
      <c r="J28" s="26"/>
      <c r="K28" s="26"/>
    </row>
    <row r="29" spans="1:11" ht="15.75" customHeight="1">
      <c r="A29" s="25" t="s">
        <v>50</v>
      </c>
      <c r="B29" s="26" t="s">
        <v>23</v>
      </c>
      <c r="C29" s="28">
        <v>10664</v>
      </c>
      <c r="D29" s="28">
        <v>3814</v>
      </c>
      <c r="E29" s="26">
        <v>-691</v>
      </c>
      <c r="F29" s="28">
        <v>6434</v>
      </c>
      <c r="G29" s="26"/>
      <c r="H29" s="26"/>
      <c r="I29" s="26"/>
      <c r="J29" s="26"/>
      <c r="K29" s="26"/>
    </row>
    <row r="30" spans="1:11" ht="15.75" customHeight="1">
      <c r="A30" s="25"/>
      <c r="B30" s="28">
        <v>9715733</v>
      </c>
      <c r="C30" s="28">
        <v>10856997</v>
      </c>
      <c r="D30" s="28">
        <v>7032570</v>
      </c>
      <c r="E30" s="28">
        <v>4428619</v>
      </c>
      <c r="F30" s="28">
        <v>5128297</v>
      </c>
      <c r="G30" s="26"/>
      <c r="H30" s="26"/>
      <c r="I30" s="26"/>
      <c r="J30" s="26"/>
      <c r="K30" s="26"/>
    </row>
    <row r="31" spans="1:11" ht="15.75" customHeight="1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 ht="15.75" customHeight="1">
      <c r="A32" s="25" t="s">
        <v>79</v>
      </c>
      <c r="B32" s="26">
        <v>7.71</v>
      </c>
      <c r="C32" s="26">
        <v>8.61</v>
      </c>
      <c r="D32" s="26">
        <v>5.58</v>
      </c>
      <c r="E32" s="26">
        <v>3.51</v>
      </c>
      <c r="F32" s="26">
        <v>4.0599999999999996</v>
      </c>
      <c r="G32" s="26"/>
      <c r="H32" s="26"/>
      <c r="I32" s="26"/>
      <c r="J32" s="26"/>
      <c r="K32" s="26"/>
    </row>
    <row r="33" spans="1:11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1:11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1:11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1:11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1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1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1:11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1:11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1:11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spans="1:11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spans="1:11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spans="1:1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1:11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spans="1:1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spans="1:11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spans="1:11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spans="1:11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spans="1:11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spans="1:11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1:1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1:11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1:11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1:11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1:11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spans="1:11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spans="1:11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1:11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1:11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1:11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1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1:11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1:11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spans="1:11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1:11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1:11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1:11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11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1:11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1:11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1:11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1:11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1:11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1:11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1:1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1:11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1:11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1:11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1:11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1:11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1:11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1:1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1:11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1:11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1:11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1:11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1:11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1:11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1:11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1:1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spans="1:11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spans="1:11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spans="1:11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spans="1:11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spans="1:11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spans="1:11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1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spans="1:11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spans="1:11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spans="1:1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spans="1:11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spans="1:11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1:11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1:11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spans="1:11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spans="1:11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spans="1:11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spans="1:11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spans="1:11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spans="1:1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spans="1:11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spans="1:11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spans="1:11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spans="1:11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spans="1:11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spans="1:11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spans="1:11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spans="1:11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spans="1:11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spans="1:1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spans="1:11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spans="1:11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spans="1:11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spans="1:11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spans="1:11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spans="1:11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spans="1:11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spans="1:11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spans="1:11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spans="1:1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spans="1:11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spans="1:11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spans="1:11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spans="1:11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spans="1:11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spans="1:11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 spans="1:11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 spans="1:11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 spans="1:11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 spans="1:1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 spans="1:11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 spans="1:11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spans="1:11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spans="1:11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 spans="1:11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 spans="1:11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 spans="1:11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 spans="1:11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 spans="1:11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 spans="1:1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 spans="1:11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 spans="1:11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 spans="1:11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spans="1:11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 spans="1:11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 spans="1:11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spans="1:11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 spans="1:11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 spans="1:11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 spans="1: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 spans="1:11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 spans="1:11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 spans="1:11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 spans="1:11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spans="1:11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 spans="1:11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 spans="1:11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 spans="1:11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 spans="1:11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 spans="1:1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 spans="1:11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 spans="1:11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 spans="1:11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spans="1:11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 spans="1:11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 spans="1:11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 spans="1:11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 spans="1:11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spans="1:11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 spans="1:1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 spans="1:11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</sheetData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42"/>
  <sheetViews>
    <sheetView workbookViewId="0">
      <pane xSplit="1" topLeftCell="B1" activePane="topRight" state="frozen"/>
      <selection pane="topRight" activeCell="C2" sqref="C2"/>
    </sheetView>
  </sheetViews>
  <sheetFormatPr defaultColWidth="14" defaultRowHeight="15" customHeight="1"/>
  <cols>
    <col min="1" max="1" width="11.375" style="1" customWidth="1"/>
    <col min="2" max="2" width="71.375" style="1" customWidth="1"/>
    <col min="3" max="4" width="20.75" style="1" customWidth="1"/>
    <col min="5" max="6" width="19.875" style="1" customWidth="1"/>
    <col min="7" max="7" width="20.25" style="1" customWidth="1"/>
  </cols>
  <sheetData>
    <row r="1" spans="1:7">
      <c r="C1" s="25">
        <v>2021</v>
      </c>
      <c r="D1" s="25">
        <v>2020</v>
      </c>
      <c r="E1" s="25">
        <v>2019</v>
      </c>
      <c r="F1" s="25">
        <v>2018</v>
      </c>
      <c r="G1" s="25">
        <v>2017</v>
      </c>
    </row>
    <row r="13" spans="1:7">
      <c r="A13" s="26"/>
      <c r="B13" s="26" t="s">
        <v>80</v>
      </c>
    </row>
    <row r="14" spans="1:7" ht="17.25">
      <c r="A14" s="26"/>
      <c r="B14" s="26" t="s">
        <v>81</v>
      </c>
      <c r="C14" s="28">
        <v>477673022</v>
      </c>
      <c r="D14" s="28">
        <v>395416055</v>
      </c>
      <c r="E14" s="28">
        <v>372913863</v>
      </c>
      <c r="F14" s="29">
        <v>343107147</v>
      </c>
      <c r="G14" s="28">
        <v>258693086</v>
      </c>
    </row>
    <row r="15" spans="1:7">
      <c r="A15" s="26"/>
      <c r="B15" s="26" t="s">
        <v>24</v>
      </c>
      <c r="C15" s="28">
        <v>616231172</v>
      </c>
      <c r="D15" s="28">
        <v>449611987</v>
      </c>
      <c r="E15" s="28">
        <v>305435633</v>
      </c>
      <c r="F15" s="28">
        <v>260233987</v>
      </c>
      <c r="G15" s="28">
        <v>314956748</v>
      </c>
    </row>
    <row r="16" spans="1:7">
      <c r="A16" s="26"/>
      <c r="B16" s="26" t="s">
        <v>82</v>
      </c>
      <c r="C16" s="26">
        <v>0</v>
      </c>
      <c r="D16" s="26">
        <v>0</v>
      </c>
      <c r="E16" s="28">
        <v>20405972</v>
      </c>
      <c r="F16" s="26">
        <v>0</v>
      </c>
      <c r="G16" s="28">
        <v>2250000</v>
      </c>
    </row>
    <row r="17" spans="1:7" ht="17.25">
      <c r="A17" s="26"/>
      <c r="B17" s="26" t="s">
        <v>83</v>
      </c>
      <c r="C17" s="28">
        <v>3556215</v>
      </c>
      <c r="D17" s="30">
        <v>8196147</v>
      </c>
      <c r="E17" s="28">
        <v>7886702</v>
      </c>
      <c r="F17" s="29">
        <v>4093402</v>
      </c>
      <c r="G17" s="28">
        <v>3193835</v>
      </c>
    </row>
    <row r="18" spans="1:7">
      <c r="A18" s="31"/>
      <c r="B18" s="31" t="s">
        <v>84</v>
      </c>
      <c r="C18" s="28">
        <v>1097460409</v>
      </c>
      <c r="D18" s="28">
        <v>853224189</v>
      </c>
      <c r="E18" s="28">
        <v>706642170</v>
      </c>
      <c r="F18" s="28">
        <v>607434536</v>
      </c>
      <c r="G18" s="28">
        <v>579093669</v>
      </c>
    </row>
    <row r="20" spans="1:7">
      <c r="A20" s="26"/>
      <c r="B20" s="26" t="s">
        <v>85</v>
      </c>
    </row>
    <row r="21" spans="1:7" ht="15.75" customHeight="1">
      <c r="A21" s="26"/>
      <c r="B21" s="26" t="s">
        <v>86</v>
      </c>
      <c r="C21" s="28">
        <v>222888771</v>
      </c>
      <c r="D21" s="28">
        <v>539726821</v>
      </c>
      <c r="E21" s="28">
        <v>484456138</v>
      </c>
      <c r="F21" s="28">
        <v>404040078</v>
      </c>
      <c r="G21" s="28">
        <v>381975947</v>
      </c>
    </row>
    <row r="22" spans="1:7" ht="15.75" customHeight="1">
      <c r="A22" s="26"/>
      <c r="B22" s="26" t="s">
        <v>87</v>
      </c>
      <c r="C22" s="28">
        <v>790982287</v>
      </c>
      <c r="D22" s="28">
        <v>1030588</v>
      </c>
      <c r="E22" s="28">
        <v>194254257</v>
      </c>
      <c r="F22" s="28">
        <v>168745407</v>
      </c>
      <c r="G22" s="28">
        <v>143678468</v>
      </c>
    </row>
    <row r="23" spans="1:7" ht="15.75" customHeight="1">
      <c r="A23" s="26"/>
      <c r="B23" s="26" t="s">
        <v>87</v>
      </c>
      <c r="C23" s="28">
        <v>1291196</v>
      </c>
      <c r="D23" s="28">
        <v>250224878</v>
      </c>
      <c r="E23" s="28">
        <v>535917</v>
      </c>
      <c r="F23" s="28">
        <v>811441</v>
      </c>
      <c r="G23" s="28">
        <v>150636</v>
      </c>
    </row>
    <row r="24" spans="1:7" ht="15.75" customHeight="1">
      <c r="A24" s="26"/>
      <c r="B24" s="26" t="s">
        <v>34</v>
      </c>
      <c r="C24" s="28">
        <v>123563761</v>
      </c>
      <c r="D24" s="29">
        <v>84163669</v>
      </c>
      <c r="E24" s="28">
        <v>51187681</v>
      </c>
      <c r="F24" s="29">
        <v>52702323</v>
      </c>
      <c r="G24" s="28">
        <v>71587311</v>
      </c>
    </row>
    <row r="25" spans="1:7" ht="15.75" customHeight="1">
      <c r="A25" s="26"/>
      <c r="B25" s="26" t="s">
        <v>88</v>
      </c>
      <c r="C25" s="28">
        <v>12000000</v>
      </c>
      <c r="D25" s="29">
        <v>12000000</v>
      </c>
      <c r="E25" s="28">
        <v>9992000</v>
      </c>
      <c r="F25" s="28">
        <v>9993600</v>
      </c>
      <c r="G25" s="28">
        <v>4992800</v>
      </c>
    </row>
    <row r="26" spans="1:7" ht="15.75" customHeight="1">
      <c r="A26" s="26"/>
      <c r="B26" s="26" t="s">
        <v>89</v>
      </c>
      <c r="C26" s="28">
        <v>7393878</v>
      </c>
      <c r="D26" s="29">
        <v>8223995</v>
      </c>
      <c r="E26" s="28">
        <v>970082</v>
      </c>
      <c r="F26" s="26">
        <v>0</v>
      </c>
      <c r="G26" s="26">
        <v>0</v>
      </c>
    </row>
    <row r="27" spans="1:7" ht="15.75" customHeight="1">
      <c r="A27" s="31"/>
      <c r="B27" s="31" t="s">
        <v>90</v>
      </c>
      <c r="C27" s="28">
        <v>1158119893</v>
      </c>
      <c r="D27" s="28">
        <v>895369951</v>
      </c>
      <c r="E27" s="28">
        <v>741396075</v>
      </c>
      <c r="F27" s="28">
        <v>636292849</v>
      </c>
      <c r="G27" s="28">
        <v>602385162</v>
      </c>
    </row>
    <row r="28" spans="1:7" ht="27" customHeight="1"/>
    <row r="29" spans="1:7" ht="15.75" customHeight="1">
      <c r="A29" s="26"/>
      <c r="B29" s="26" t="s">
        <v>91</v>
      </c>
      <c r="C29" s="28">
        <v>9715733</v>
      </c>
      <c r="D29" s="28">
        <v>10856997</v>
      </c>
      <c r="E29" s="28">
        <v>7017901</v>
      </c>
      <c r="F29" s="28">
        <v>4431278</v>
      </c>
      <c r="G29" s="28">
        <v>5121686</v>
      </c>
    </row>
    <row r="30" spans="1:7" ht="27" customHeight="1">
      <c r="A30" s="26"/>
      <c r="B30" s="26" t="s">
        <v>92</v>
      </c>
      <c r="C30" s="28">
        <v>56040863</v>
      </c>
      <c r="D30" s="28">
        <v>54681275</v>
      </c>
      <c r="E30" s="28">
        <v>42402183</v>
      </c>
      <c r="F30" s="28">
        <v>33600361</v>
      </c>
      <c r="G30" s="28">
        <v>32545236</v>
      </c>
    </row>
    <row r="31" spans="1:7" ht="27" customHeight="1">
      <c r="A31" s="26"/>
      <c r="B31" s="26" t="s">
        <v>31</v>
      </c>
      <c r="C31" s="28">
        <v>1259328610</v>
      </c>
      <c r="D31" s="28">
        <v>992886661</v>
      </c>
      <c r="E31" s="28">
        <v>833443027</v>
      </c>
      <c r="F31" s="28">
        <v>706666079</v>
      </c>
      <c r="G31" s="28">
        <v>662938624</v>
      </c>
    </row>
    <row r="32" spans="1:7" ht="27" customHeight="1">
      <c r="A32" s="26"/>
      <c r="B32" s="26" t="s">
        <v>93</v>
      </c>
      <c r="C32" s="28">
        <v>11108547</v>
      </c>
      <c r="D32" s="28">
        <v>9966676</v>
      </c>
      <c r="E32" s="28">
        <v>3759397</v>
      </c>
      <c r="F32" s="28">
        <v>2718437</v>
      </c>
      <c r="G32" s="28">
        <v>1053065</v>
      </c>
    </row>
    <row r="33" spans="1:29" ht="27" customHeight="1"/>
    <row r="34" spans="1:29" ht="15.75" customHeight="1">
      <c r="A34" s="26">
        <v>2</v>
      </c>
    </row>
    <row r="35" spans="1:29" ht="15.75" customHeight="1">
      <c r="A35" s="26">
        <v>3</v>
      </c>
    </row>
    <row r="36" spans="1:29" ht="15.75" customHeight="1">
      <c r="A36" s="26">
        <v>4</v>
      </c>
    </row>
    <row r="37" spans="1:29" ht="15.75" customHeight="1">
      <c r="A37" s="26">
        <v>5</v>
      </c>
    </row>
    <row r="38" spans="1:29" ht="15.75" customHeight="1">
      <c r="A38" s="26">
        <v>6</v>
      </c>
    </row>
    <row r="39" spans="1:29" ht="15.75" customHeight="1"/>
    <row r="40" spans="1:29" ht="15.75" customHeight="1">
      <c r="B40" s="25" t="s">
        <v>94</v>
      </c>
    </row>
    <row r="41" spans="1:29" ht="15.75" customHeight="1">
      <c r="B41" s="25" t="s">
        <v>65</v>
      </c>
      <c r="C41" s="28">
        <v>41977144</v>
      </c>
      <c r="D41" s="28">
        <v>40118921</v>
      </c>
      <c r="E41" s="28">
        <v>29540550</v>
      </c>
      <c r="F41" s="28">
        <v>24231551</v>
      </c>
      <c r="G41" s="28">
        <v>22311366</v>
      </c>
      <c r="S41" s="25" t="s">
        <v>95</v>
      </c>
      <c r="Y41" s="26">
        <v>2021</v>
      </c>
      <c r="Z41" s="26">
        <v>2020</v>
      </c>
      <c r="AA41" s="26">
        <v>2019</v>
      </c>
      <c r="AB41" s="26">
        <v>2018</v>
      </c>
      <c r="AC41" s="26">
        <v>2017</v>
      </c>
    </row>
    <row r="42" spans="1:29" ht="15.75" customHeight="1">
      <c r="A42" s="26"/>
      <c r="B42" s="25" t="s">
        <v>67</v>
      </c>
      <c r="C42" s="28">
        <v>21017376</v>
      </c>
      <c r="D42" s="28">
        <v>20217974</v>
      </c>
      <c r="E42" s="28">
        <v>18235061</v>
      </c>
      <c r="F42" s="28">
        <v>16240514</v>
      </c>
      <c r="G42" s="28">
        <v>14948796</v>
      </c>
      <c r="S42" s="26" t="s">
        <v>96</v>
      </c>
      <c r="T42" s="26">
        <v>13</v>
      </c>
      <c r="U42" s="32" t="s">
        <v>97</v>
      </c>
      <c r="V42" s="32"/>
      <c r="W42" s="32"/>
    </row>
    <row r="43" spans="1:29" ht="15.75" customHeight="1">
      <c r="A43" s="26"/>
      <c r="B43" s="25" t="s">
        <v>31</v>
      </c>
      <c r="C43" s="28">
        <v>1259328610</v>
      </c>
      <c r="D43" s="28">
        <v>992886661</v>
      </c>
      <c r="E43" s="28">
        <v>833443027</v>
      </c>
      <c r="F43" s="28">
        <v>706666079</v>
      </c>
      <c r="G43" s="28">
        <v>662938624</v>
      </c>
      <c r="S43" s="26" t="s">
        <v>98</v>
      </c>
      <c r="T43" s="26">
        <v>14</v>
      </c>
      <c r="U43" s="26" t="s">
        <v>99</v>
      </c>
      <c r="W43" s="32"/>
      <c r="Y43" s="26">
        <v>2.5121787179347967E-2</v>
      </c>
      <c r="Z43" s="26">
        <v>3.0347781402047521E-2</v>
      </c>
      <c r="AA43" s="26">
        <v>2.6794391390056745E-2</v>
      </c>
      <c r="AB43" s="26">
        <v>2.9126761384542073E-2</v>
      </c>
      <c r="AC43" s="26">
        <v>1.9300090610075291E-2</v>
      </c>
    </row>
    <row r="44" spans="1:29" ht="15.75" customHeight="1">
      <c r="A44" s="26"/>
      <c r="S44" s="26" t="s">
        <v>98</v>
      </c>
      <c r="T44" s="26">
        <v>15</v>
      </c>
      <c r="U44" s="26" t="s">
        <v>100</v>
      </c>
      <c r="W44" s="32"/>
    </row>
    <row r="45" spans="1:29" ht="15.75" customHeight="1">
      <c r="S45" s="26" t="s">
        <v>98</v>
      </c>
      <c r="T45" s="26">
        <v>16</v>
      </c>
      <c r="U45" s="26" t="s">
        <v>101</v>
      </c>
      <c r="W45" s="32"/>
    </row>
    <row r="46" spans="1:29" ht="15.75" customHeight="1">
      <c r="S46" s="26" t="s">
        <v>98</v>
      </c>
      <c r="T46" s="26">
        <v>17</v>
      </c>
      <c r="U46" s="26" t="s">
        <v>102</v>
      </c>
      <c r="W46" s="32"/>
      <c r="Y46" s="26">
        <v>8.8934105101129507E-2</v>
      </c>
      <c r="Z46" s="26">
        <v>3.6113770207443038E-2</v>
      </c>
      <c r="AA46" s="26">
        <v>1.8236678993626344E-2</v>
      </c>
      <c r="AB46" s="26">
        <v>4.3469027014322849E-2</v>
      </c>
      <c r="AC46" s="26">
        <v>-3.614759468943473E-2</v>
      </c>
    </row>
    <row r="47" spans="1:29" ht="15.75" customHeight="1">
      <c r="A47" s="26"/>
      <c r="S47" s="26" t="s">
        <v>98</v>
      </c>
      <c r="T47" s="26">
        <v>18</v>
      </c>
      <c r="U47" s="26" t="s">
        <v>103</v>
      </c>
      <c r="W47" s="32"/>
      <c r="Y47" s="26">
        <v>1.0433798373482352E-2</v>
      </c>
      <c r="Z47" s="26">
        <v>4.994099190029095E-3</v>
      </c>
      <c r="AA47" s="26">
        <v>2.0736021819601808E-3</v>
      </c>
      <c r="AB47" s="26">
        <v>4.2569063710001936E-3</v>
      </c>
      <c r="AC47" s="26">
        <v>-4.5475973795449636E-3</v>
      </c>
    </row>
    <row r="48" spans="1:29" ht="15.75" customHeight="1">
      <c r="Y48" s="26">
        <v>2021</v>
      </c>
      <c r="Z48" s="26">
        <v>2020</v>
      </c>
      <c r="AA48" s="26">
        <v>2019</v>
      </c>
      <c r="AB48" s="26">
        <v>2018</v>
      </c>
      <c r="AC48" s="26">
        <v>2017</v>
      </c>
    </row>
    <row r="49" spans="2:29" ht="15.75" customHeight="1">
      <c r="U49" s="26" t="s">
        <v>104</v>
      </c>
      <c r="Y49" s="26">
        <v>0.61993417516786575</v>
      </c>
      <c r="Z49" s="26">
        <v>0.60874432277217427</v>
      </c>
      <c r="AA49" s="26">
        <v>0.67543789069455207</v>
      </c>
      <c r="AB49" s="26">
        <v>0.64413212965271227</v>
      </c>
      <c r="AC49" s="26">
        <v>0.61369888160241548</v>
      </c>
    </row>
    <row r="50" spans="2:29" ht="15.75" customHeight="1">
      <c r="U50" s="33" t="s">
        <v>105</v>
      </c>
    </row>
    <row r="51" spans="2:29" ht="15.75" customHeight="1">
      <c r="U51" s="34" t="s">
        <v>106</v>
      </c>
      <c r="Y51" s="26">
        <v>8.8210074096545781E-3</v>
      </c>
      <c r="Z51" s="26">
        <v>1.003808026785446E-2</v>
      </c>
      <c r="AA51" s="26">
        <v>4.510682648017403E-3</v>
      </c>
      <c r="AB51" s="26">
        <v>3.8468480103740765E-3</v>
      </c>
      <c r="AC51" s="26">
        <v>1.5884803839699042E-3</v>
      </c>
    </row>
    <row r="52" spans="2:29" ht="15.75" customHeight="1">
      <c r="U52" s="34" t="s">
        <v>107</v>
      </c>
      <c r="Y52" s="26">
        <v>22.471613436788079</v>
      </c>
      <c r="Z52" s="26">
        <v>18.157708667180859</v>
      </c>
      <c r="AA52" s="26">
        <v>19.655663176586923</v>
      </c>
      <c r="AB52" s="26">
        <v>21.031502578201465</v>
      </c>
      <c r="AC52" s="26">
        <v>20.369759309780392</v>
      </c>
    </row>
    <row r="53" spans="2:29" ht="15.75" customHeight="1">
      <c r="Y53" s="26">
        <v>0</v>
      </c>
      <c r="Z53" s="26">
        <v>0</v>
      </c>
      <c r="AA53" s="26">
        <v>0</v>
      </c>
      <c r="AB53" s="26">
        <v>0</v>
      </c>
      <c r="AC53" s="26">
        <v>0</v>
      </c>
    </row>
    <row r="54" spans="2:29" ht="15.75" customHeight="1"/>
    <row r="55" spans="2:29" ht="15.75" customHeight="1"/>
    <row r="56" spans="2:29" ht="15.75" customHeight="1">
      <c r="B56" s="25" t="s">
        <v>108</v>
      </c>
      <c r="C56" s="25">
        <v>2021</v>
      </c>
      <c r="D56" s="25">
        <v>2020</v>
      </c>
      <c r="E56" s="25">
        <v>2019</v>
      </c>
      <c r="F56" s="25">
        <v>2018</v>
      </c>
      <c r="G56" s="25">
        <v>2017</v>
      </c>
    </row>
    <row r="57" spans="2:29" ht="15.75" customHeight="1">
      <c r="B57" s="35" t="s">
        <v>109</v>
      </c>
      <c r="C57" s="35"/>
      <c r="D57" s="35"/>
      <c r="E57" s="35"/>
      <c r="F57" s="35"/>
      <c r="G57" s="35"/>
    </row>
    <row r="58" spans="2:29" ht="15.75" customHeight="1">
      <c r="B58" s="35" t="s">
        <v>110</v>
      </c>
      <c r="C58" s="35">
        <v>2.0145322434150774</v>
      </c>
      <c r="D58" s="35">
        <v>1.8503634031637453</v>
      </c>
      <c r="E58" s="35">
        <v>1.8085221143473571</v>
      </c>
      <c r="F58" s="35">
        <v>1.1116220735785953</v>
      </c>
      <c r="G58" s="35">
        <v>1.332988089073019</v>
      </c>
    </row>
    <row r="59" spans="2:29" ht="15.75" customHeight="1">
      <c r="B59" s="36" t="s">
        <v>111</v>
      </c>
      <c r="C59" s="36">
        <v>22.02</v>
      </c>
      <c r="D59" s="36">
        <v>23.39</v>
      </c>
      <c r="E59" s="36">
        <v>18.54</v>
      </c>
      <c r="F59" s="36">
        <v>23.92</v>
      </c>
      <c r="G59" s="36">
        <v>19.309999999999999</v>
      </c>
    </row>
    <row r="60" spans="2:29" ht="15.75" customHeight="1">
      <c r="B60" s="36" t="s">
        <v>112</v>
      </c>
      <c r="C60" s="37">
        <v>1260260180</v>
      </c>
      <c r="D60" s="37">
        <v>1260260180</v>
      </c>
      <c r="E60" s="37">
        <v>1260260180</v>
      </c>
      <c r="F60" s="37">
        <v>1260260180</v>
      </c>
      <c r="G60" s="37">
        <v>1260260180</v>
      </c>
    </row>
    <row r="61" spans="2:29" ht="15.75" customHeight="1">
      <c r="B61" s="36" t="s">
        <v>113</v>
      </c>
      <c r="C61" s="38">
        <v>44.36</v>
      </c>
      <c r="D61" s="38">
        <v>43.28</v>
      </c>
      <c r="E61" s="38">
        <v>33.53</v>
      </c>
      <c r="F61" s="38">
        <v>26.59</v>
      </c>
      <c r="G61" s="38">
        <v>25.74</v>
      </c>
    </row>
    <row r="62" spans="2:29" ht="15.75" customHeight="1">
      <c r="B62" s="35" t="s">
        <v>114</v>
      </c>
      <c r="C62" s="35"/>
      <c r="D62" s="35"/>
      <c r="E62" s="35"/>
      <c r="F62" s="35"/>
      <c r="G62" s="35"/>
    </row>
    <row r="63" spans="2:29" ht="15.75" customHeight="1">
      <c r="B63" s="35" t="s">
        <v>115</v>
      </c>
      <c r="C63" s="35">
        <v>1.3176955341044831</v>
      </c>
      <c r="D63" s="35">
        <v>1.0580940899831748</v>
      </c>
      <c r="E63" s="35">
        <v>1.0312515352074776</v>
      </c>
      <c r="F63" s="35">
        <v>1.0721448468924104</v>
      </c>
      <c r="G63" s="35">
        <v>1.0173813192532266</v>
      </c>
    </row>
    <row r="64" spans="2:29" ht="15.75" customHeight="1">
      <c r="B64" s="36" t="s">
        <v>116</v>
      </c>
      <c r="C64" s="37">
        <v>1222420697</v>
      </c>
      <c r="D64" s="37">
        <v>956675071</v>
      </c>
      <c r="E64" s="37">
        <v>786642860</v>
      </c>
      <c r="F64" s="37">
        <v>667452221</v>
      </c>
      <c r="G64" s="37">
        <v>633359777</v>
      </c>
    </row>
    <row r="65" spans="1:8" ht="15.75" customHeight="1">
      <c r="B65" s="36" t="s">
        <v>117</v>
      </c>
      <c r="C65" s="37">
        <v>927695864</v>
      </c>
      <c r="D65" s="37">
        <v>904149338</v>
      </c>
      <c r="E65" s="37">
        <v>762804062</v>
      </c>
      <c r="F65" s="37">
        <v>622539224</v>
      </c>
      <c r="G65" s="37">
        <v>622539224</v>
      </c>
    </row>
    <row r="66" spans="1:8" ht="15.75" customHeight="1">
      <c r="B66" s="35" t="s">
        <v>118</v>
      </c>
      <c r="C66" s="35">
        <v>0.60150352363038317</v>
      </c>
      <c r="D66" s="35">
        <v>0.95457933838650033</v>
      </c>
      <c r="E66" s="35">
        <v>0.57388256878498511</v>
      </c>
      <c r="F66" s="35">
        <v>0.54748613552497316</v>
      </c>
      <c r="G66" s="35">
        <v>0.54793223807334746</v>
      </c>
      <c r="H66" s="26" t="s">
        <v>119</v>
      </c>
    </row>
    <row r="67" spans="1:8" ht="15.75" customHeight="1">
      <c r="B67" s="36" t="s">
        <v>120</v>
      </c>
      <c r="C67" s="37">
        <v>610784723000</v>
      </c>
      <c r="D67" s="37">
        <v>755250763000</v>
      </c>
      <c r="E67" s="37">
        <v>389838134000</v>
      </c>
      <c r="F67" s="37">
        <v>314057678000</v>
      </c>
      <c r="G67" s="37">
        <v>288107323000</v>
      </c>
    </row>
    <row r="68" spans="1:8" ht="15.75" customHeight="1">
      <c r="B68" s="36" t="s">
        <v>121</v>
      </c>
      <c r="C68" s="37">
        <v>1015430000000</v>
      </c>
      <c r="D68" s="37">
        <v>791187000000</v>
      </c>
      <c r="E68" s="37">
        <v>679299486000</v>
      </c>
      <c r="F68" s="37">
        <v>573635856000</v>
      </c>
      <c r="G68" s="37">
        <v>525808308000</v>
      </c>
    </row>
    <row r="69" spans="1:8" ht="15.75" customHeight="1">
      <c r="B69" s="35" t="s">
        <v>122</v>
      </c>
      <c r="C69" s="35">
        <v>2.8597402597402595</v>
      </c>
      <c r="D69" s="35">
        <v>2.7292882147024504</v>
      </c>
      <c r="E69" s="35">
        <v>3.328545780969479</v>
      </c>
      <c r="F69" s="35">
        <v>6.7954545454545459</v>
      </c>
      <c r="G69" s="35">
        <v>4.6196172248803826</v>
      </c>
    </row>
    <row r="70" spans="1:8" ht="15.75" customHeight="1">
      <c r="B70" s="36" t="s">
        <v>123</v>
      </c>
      <c r="C70" s="36">
        <v>22.02</v>
      </c>
      <c r="D70" s="36">
        <v>23.39</v>
      </c>
      <c r="E70" s="36">
        <v>18.54</v>
      </c>
      <c r="F70" s="36">
        <v>23.92</v>
      </c>
      <c r="G70" s="36">
        <v>19.309999999999999</v>
      </c>
    </row>
    <row r="71" spans="1:8" ht="15.75" customHeight="1">
      <c r="B71" s="39" t="s">
        <v>124</v>
      </c>
      <c r="C71" s="40">
        <v>0.1338</v>
      </c>
      <c r="D71" s="40">
        <v>0.15479999999999999</v>
      </c>
      <c r="E71" s="40">
        <v>0.1338</v>
      </c>
      <c r="F71" s="40">
        <v>0.12509999999999999</v>
      </c>
      <c r="G71" s="40">
        <v>0.12089999999999999</v>
      </c>
    </row>
    <row r="72" spans="1:8" ht="15.75" customHeight="1">
      <c r="B72" s="36" t="s">
        <v>125</v>
      </c>
      <c r="C72" s="36">
        <v>7.7</v>
      </c>
      <c r="D72" s="36">
        <v>8.57</v>
      </c>
      <c r="E72" s="36">
        <v>5.57</v>
      </c>
      <c r="F72" s="36">
        <v>3.52</v>
      </c>
      <c r="G72" s="36">
        <v>4.18</v>
      </c>
    </row>
    <row r="73" spans="1:8" ht="15.75" customHeight="1">
      <c r="B73" s="25" t="s">
        <v>51</v>
      </c>
      <c r="C73" s="28">
        <v>56040863</v>
      </c>
      <c r="D73" s="28">
        <v>54681275</v>
      </c>
      <c r="E73" s="28">
        <v>42402183</v>
      </c>
      <c r="F73" s="28">
        <v>33600361</v>
      </c>
      <c r="G73" s="28">
        <v>32545236</v>
      </c>
    </row>
    <row r="74" spans="1:8" ht="15.75" customHeight="1">
      <c r="B74" s="25" t="s">
        <v>31</v>
      </c>
      <c r="C74" s="28">
        <v>1259328610</v>
      </c>
      <c r="D74" s="28">
        <v>992886661</v>
      </c>
      <c r="E74" s="28">
        <v>833443027</v>
      </c>
      <c r="F74" s="28">
        <v>706666079</v>
      </c>
      <c r="G74" s="28">
        <v>662938624</v>
      </c>
    </row>
    <row r="75" spans="1:8" ht="15.75" customHeight="1">
      <c r="B75" s="25" t="s">
        <v>126</v>
      </c>
    </row>
    <row r="76" spans="1:8" ht="15.75" customHeight="1">
      <c r="A76" s="41">
        <v>3</v>
      </c>
      <c r="B76" s="42" t="s">
        <v>127</v>
      </c>
      <c r="C76" s="41">
        <v>0.46227145577069184</v>
      </c>
      <c r="D76" s="41">
        <v>0.53699727776878137</v>
      </c>
      <c r="E76" s="41">
        <v>0.38485755545320083</v>
      </c>
      <c r="F76" s="41">
        <v>0.27285330993834306</v>
      </c>
      <c r="G76" s="41">
        <v>0.34261528486976478</v>
      </c>
      <c r="H76" s="25" t="s">
        <v>128</v>
      </c>
    </row>
    <row r="77" spans="1:8" ht="15.75" customHeight="1">
      <c r="A77" s="41">
        <v>4</v>
      </c>
      <c r="B77" s="42" t="s">
        <v>129</v>
      </c>
      <c r="C77" s="43">
        <v>0.17336872560295868</v>
      </c>
      <c r="D77" s="43">
        <v>0.19855054586784965</v>
      </c>
      <c r="E77" s="43">
        <v>0.16550801169835996</v>
      </c>
      <c r="F77" s="43">
        <v>0.13188185686457357</v>
      </c>
      <c r="G77" s="43">
        <v>0.15737129698491048</v>
      </c>
      <c r="H77" s="25" t="s">
        <v>130</v>
      </c>
    </row>
    <row r="78" spans="1:8" ht="15.75" customHeight="1">
      <c r="A78" s="41">
        <v>5</v>
      </c>
      <c r="B78" s="42" t="s">
        <v>131</v>
      </c>
      <c r="C78" s="41">
        <v>7.7150101433810826E-3</v>
      </c>
      <c r="D78" s="41">
        <v>1.0934779795576284E-2</v>
      </c>
      <c r="E78" s="41">
        <v>8.420372806118636E-3</v>
      </c>
      <c r="F78" s="41">
        <v>6.2706816298168455E-3</v>
      </c>
      <c r="G78" s="41">
        <v>7.7257317865974872E-3</v>
      </c>
      <c r="H78" s="25" t="s">
        <v>130</v>
      </c>
    </row>
    <row r="79" spans="1:8" ht="15.75" customHeight="1">
      <c r="A79" s="41">
        <v>6</v>
      </c>
      <c r="B79" s="42" t="s">
        <v>132</v>
      </c>
      <c r="C79" s="41">
        <v>2.7200526981335408E-10</v>
      </c>
      <c r="D79" s="41">
        <v>3.3155479186001709E-10</v>
      </c>
      <c r="E79" s="41">
        <v>2.0376654688651644E-10</v>
      </c>
      <c r="F79" s="41">
        <v>2.0670911833192082E-10</v>
      </c>
      <c r="G79" s="41">
        <v>9.8083030948798745E-11</v>
      </c>
      <c r="H79" s="25" t="s">
        <v>128</v>
      </c>
    </row>
    <row r="80" spans="1:8" ht="15.75" customHeight="1">
      <c r="A80" s="41">
        <v>7</v>
      </c>
      <c r="B80" s="42" t="s">
        <v>133</v>
      </c>
      <c r="C80" s="44">
        <v>8.8210074096545781E-3</v>
      </c>
      <c r="D80" s="44">
        <v>1.003808026785446E-2</v>
      </c>
      <c r="E80" s="44">
        <v>4.510682648017403E-3</v>
      </c>
      <c r="F80" s="44">
        <v>3.8468480103740765E-3</v>
      </c>
      <c r="G80" s="44">
        <v>1.5884803839699042E-3</v>
      </c>
      <c r="H80" s="25" t="s">
        <v>134</v>
      </c>
    </row>
    <row r="81" spans="1:8" ht="15.75" customHeight="1">
      <c r="A81" s="41">
        <v>8</v>
      </c>
      <c r="B81" s="42" t="s">
        <v>135</v>
      </c>
      <c r="C81" s="44">
        <v>3.5523015712316738E-3</v>
      </c>
      <c r="D81" s="44">
        <v>7.8762705827105477E-3</v>
      </c>
      <c r="E81" s="44">
        <v>7.8359357369726969E-3</v>
      </c>
      <c r="F81" s="44">
        <v>5.6178598605127047E-3</v>
      </c>
      <c r="G81" s="44">
        <v>1.0964767682626378E-2</v>
      </c>
      <c r="H81" s="25" t="s">
        <v>134</v>
      </c>
    </row>
    <row r="82" spans="1:8" ht="15.75" customHeight="1">
      <c r="A82" s="41">
        <v>9</v>
      </c>
      <c r="B82" s="42" t="s">
        <v>136</v>
      </c>
      <c r="C82" s="41">
        <v>1.6643605039672688E-2</v>
      </c>
      <c r="D82" s="41">
        <v>2.0043523376531695E-2</v>
      </c>
      <c r="E82" s="41">
        <v>1.3564801232658222E-2</v>
      </c>
      <c r="F82" s="41">
        <v>1.1308080630257619E-2</v>
      </c>
      <c r="G82" s="41">
        <v>1.1105960240446029E-2</v>
      </c>
      <c r="H82" s="25" t="s">
        <v>137</v>
      </c>
    </row>
    <row r="83" spans="1:8" ht="15.75" customHeight="1">
      <c r="A83" s="41">
        <v>10</v>
      </c>
      <c r="B83" s="42" t="s">
        <v>138</v>
      </c>
      <c r="C83" s="41">
        <v>1.1139617080179298E-2</v>
      </c>
      <c r="D83" s="41">
        <v>1.2801607777504297E-2</v>
      </c>
      <c r="E83" s="41">
        <v>6.5391634196390984E-3</v>
      </c>
      <c r="F83" s="41">
        <v>5.6618088379455991E-3</v>
      </c>
      <c r="G83" s="41">
        <v>2.8294988179065998E-3</v>
      </c>
      <c r="H83" s="25"/>
    </row>
    <row r="84" spans="1:8" ht="15.75" customHeight="1">
      <c r="A84" s="31"/>
      <c r="B84" s="45" t="s">
        <v>139</v>
      </c>
      <c r="C84" s="46">
        <v>32429546</v>
      </c>
      <c r="D84" s="46">
        <v>30275781</v>
      </c>
      <c r="E84" s="46">
        <v>22136522</v>
      </c>
      <c r="F84" s="46">
        <v>18609958</v>
      </c>
      <c r="G84" s="46">
        <v>16195262</v>
      </c>
      <c r="H84" s="25"/>
    </row>
    <row r="85" spans="1:8" ht="15.75" customHeight="1">
      <c r="A85" s="31"/>
      <c r="B85" s="45" t="s">
        <v>140</v>
      </c>
      <c r="C85" s="46">
        <v>1097460409</v>
      </c>
      <c r="D85" s="46">
        <v>853224189</v>
      </c>
      <c r="E85" s="46">
        <v>706642170</v>
      </c>
      <c r="F85" s="46">
        <v>607434536</v>
      </c>
      <c r="G85" s="46">
        <v>579093669</v>
      </c>
      <c r="H85" s="25"/>
    </row>
    <row r="86" spans="1:8" ht="15.75" customHeight="1">
      <c r="A86" s="31"/>
      <c r="B86" s="45" t="s">
        <v>141</v>
      </c>
      <c r="C86" s="46">
        <v>21320999</v>
      </c>
      <c r="D86" s="46">
        <v>20309105</v>
      </c>
      <c r="E86" s="46">
        <v>18377125</v>
      </c>
      <c r="F86" s="46">
        <v>15891521</v>
      </c>
      <c r="G86" s="46">
        <v>15142197</v>
      </c>
      <c r="H86" s="25"/>
    </row>
    <row r="87" spans="1:8" ht="15.75" customHeight="1">
      <c r="A87" s="31"/>
      <c r="B87" s="45" t="s">
        <v>90</v>
      </c>
      <c r="C87" s="46">
        <v>1158119893</v>
      </c>
      <c r="D87" s="46">
        <v>895369951</v>
      </c>
      <c r="E87" s="46">
        <v>741396075</v>
      </c>
      <c r="F87" s="46">
        <v>636292849</v>
      </c>
      <c r="G87" s="46">
        <v>602385162</v>
      </c>
      <c r="H87" s="25"/>
    </row>
    <row r="88" spans="1:8" ht="15.75" customHeight="1">
      <c r="A88" s="41">
        <v>11</v>
      </c>
      <c r="B88" s="42" t="s">
        <v>142</v>
      </c>
      <c r="C88" s="41">
        <v>0.874617805550987</v>
      </c>
      <c r="D88" s="41">
        <v>1.0893297825674277</v>
      </c>
      <c r="E88" s="41">
        <v>1.8667624089714387</v>
      </c>
      <c r="F88" s="41">
        <v>1.630083021971817</v>
      </c>
      <c r="G88" s="41">
        <v>4.8635991130651952</v>
      </c>
      <c r="H88" s="25" t="s">
        <v>130</v>
      </c>
    </row>
    <row r="89" spans="1:8" ht="15.75" customHeight="1">
      <c r="A89" s="41">
        <v>12</v>
      </c>
      <c r="B89" s="42" t="s">
        <v>143</v>
      </c>
      <c r="C89" s="41">
        <v>22.471613436788079</v>
      </c>
      <c r="D89" s="41">
        <v>18.157708667180859</v>
      </c>
      <c r="E89" s="41">
        <v>19.655663176586923</v>
      </c>
      <c r="F89" s="41">
        <v>21.031502578201465</v>
      </c>
      <c r="G89" s="41">
        <v>20.369759309780392</v>
      </c>
      <c r="H89" s="25" t="s">
        <v>130</v>
      </c>
    </row>
    <row r="90" spans="1:8" ht="15.75" customHeight="1">
      <c r="A90" s="41">
        <v>13</v>
      </c>
      <c r="B90" s="42" t="s">
        <v>144</v>
      </c>
      <c r="C90" s="41">
        <v>8.8210074096545781E-3</v>
      </c>
      <c r="D90" s="41">
        <v>1.003808026785446E-2</v>
      </c>
      <c r="E90" s="41">
        <v>4.510682648017403E-3</v>
      </c>
      <c r="F90" s="41">
        <v>3.8468480103740765E-3</v>
      </c>
      <c r="G90" s="41">
        <v>1.5884803839699042E-3</v>
      </c>
      <c r="H90" s="25" t="s">
        <v>130</v>
      </c>
    </row>
    <row r="91" spans="1:8" ht="15.75" customHeight="1">
      <c r="A91" s="41">
        <v>14</v>
      </c>
      <c r="B91" s="42" t="s">
        <v>145</v>
      </c>
      <c r="C91" s="41">
        <v>0.50068618293802936</v>
      </c>
      <c r="D91" s="41">
        <v>0.50395109080824985</v>
      </c>
      <c r="E91" s="41">
        <v>0.61728914999889983</v>
      </c>
      <c r="F91" s="41">
        <v>0.67022181122454771</v>
      </c>
      <c r="G91" s="41">
        <v>0.67000810259667654</v>
      </c>
      <c r="H91" s="25" t="s">
        <v>137</v>
      </c>
    </row>
    <row r="92" spans="1:8" ht="15.75" customHeight="1">
      <c r="A92" s="41">
        <v>15</v>
      </c>
      <c r="B92" s="42" t="s">
        <v>146</v>
      </c>
      <c r="C92" s="47">
        <v>0.61993417516786575</v>
      </c>
      <c r="D92" s="47">
        <v>0.60874432277217427</v>
      </c>
      <c r="E92" s="47">
        <v>0.67473556540186419</v>
      </c>
      <c r="F92" s="47">
        <v>0.64413212965271227</v>
      </c>
      <c r="G92" s="47">
        <v>0.61369888160241548</v>
      </c>
      <c r="H92" s="25" t="s">
        <v>147</v>
      </c>
    </row>
    <row r="93" spans="1:8" ht="15.75" customHeight="1">
      <c r="A93" s="41">
        <v>16</v>
      </c>
      <c r="B93" s="42" t="s">
        <v>148</v>
      </c>
      <c r="C93" s="44">
        <v>8.8210074096545781E-3</v>
      </c>
      <c r="D93" s="44">
        <v>1.003808026785446E-2</v>
      </c>
      <c r="E93" s="44">
        <v>4.510682648017403E-3</v>
      </c>
      <c r="F93" s="44">
        <v>3.8468480103740765E-3</v>
      </c>
      <c r="G93" s="44">
        <v>1.5884803839699042E-3</v>
      </c>
      <c r="H93" s="25" t="s">
        <v>147</v>
      </c>
    </row>
    <row r="94" spans="1:8" ht="15.75" customHeight="1"/>
    <row r="95" spans="1:8" ht="15.75" customHeight="1"/>
    <row r="96" spans="1:8" ht="15.75" customHeight="1">
      <c r="C96" s="41"/>
      <c r="D96" s="41"/>
      <c r="E96" s="41"/>
      <c r="F96" s="41"/>
      <c r="G96" s="41"/>
    </row>
    <row r="97" spans="2:9" ht="15.75" customHeight="1"/>
    <row r="98" spans="2:9" ht="15.75" customHeight="1">
      <c r="B98" s="41" t="s">
        <v>149</v>
      </c>
      <c r="C98" s="31"/>
      <c r="D98" s="31"/>
      <c r="E98" s="31"/>
      <c r="F98" s="31"/>
      <c r="G98" s="31"/>
      <c r="H98" s="31"/>
    </row>
    <row r="99" spans="2:9" ht="15.75" customHeight="1">
      <c r="B99" s="31" t="s">
        <v>150</v>
      </c>
      <c r="C99" s="31">
        <v>1.3176955341044831</v>
      </c>
      <c r="D99" s="31">
        <v>1.0580940899831748</v>
      </c>
      <c r="E99" s="31">
        <v>1.0312515352074776</v>
      </c>
      <c r="F99" s="31">
        <v>1.0721448468924104</v>
      </c>
      <c r="G99" s="31">
        <v>1.0173813192532266</v>
      </c>
      <c r="H99" s="31" t="s">
        <v>151</v>
      </c>
      <c r="I99" s="25"/>
    </row>
    <row r="100" spans="2:9" ht="15.75" customHeight="1">
      <c r="B100" s="31" t="s">
        <v>152</v>
      </c>
      <c r="C100" s="31">
        <v>0.60150352363038317</v>
      </c>
      <c r="D100" s="31">
        <v>0.95457933838650033</v>
      </c>
      <c r="E100" s="31">
        <v>0.57388256878498511</v>
      </c>
      <c r="F100" s="31">
        <v>0.54748613552497316</v>
      </c>
      <c r="G100" s="31">
        <v>0.54793223807334746</v>
      </c>
      <c r="H100" s="31" t="s">
        <v>151</v>
      </c>
    </row>
    <row r="101" spans="2:9" ht="15.75" customHeight="1">
      <c r="B101" s="41" t="s">
        <v>153</v>
      </c>
      <c r="C101" s="31"/>
      <c r="D101" s="31"/>
      <c r="E101" s="31"/>
      <c r="F101" s="31"/>
      <c r="G101" s="31"/>
      <c r="H101" s="31"/>
    </row>
    <row r="102" spans="2:9" ht="15.75" customHeight="1">
      <c r="B102" s="31" t="s">
        <v>154</v>
      </c>
      <c r="C102" s="31">
        <v>2.8597402597402595</v>
      </c>
      <c r="D102" s="31">
        <v>2.7292882147024504</v>
      </c>
      <c r="E102" s="31">
        <v>3.328545780969479</v>
      </c>
      <c r="F102" s="31">
        <v>6.7954545454545459</v>
      </c>
      <c r="G102" s="31">
        <v>4.6196172248803826</v>
      </c>
      <c r="H102" s="31" t="s">
        <v>151</v>
      </c>
    </row>
    <row r="103" spans="2:9" ht="15.75" customHeight="1">
      <c r="B103" s="31" t="s">
        <v>155</v>
      </c>
      <c r="C103" s="31">
        <v>4.4500587499556606E-2</v>
      </c>
      <c r="D103" s="31">
        <v>5.5073028118765313E-2</v>
      </c>
      <c r="E103" s="31">
        <v>5.087592268019539E-2</v>
      </c>
      <c r="F103" s="31">
        <v>4.7547720201240901E-2</v>
      </c>
      <c r="G103" s="31">
        <v>4.90923817406059E-2</v>
      </c>
      <c r="H103" s="31" t="s">
        <v>151</v>
      </c>
    </row>
    <row r="104" spans="2:9" ht="15.75" customHeight="1"/>
    <row r="105" spans="2:9" ht="15.75" customHeight="1"/>
    <row r="106" spans="2:9" ht="15.75" customHeight="1">
      <c r="C106" s="25">
        <v>2021</v>
      </c>
      <c r="D106" s="25">
        <v>2020</v>
      </c>
      <c r="E106" s="25">
        <v>2019</v>
      </c>
      <c r="F106" s="25">
        <v>2018</v>
      </c>
      <c r="G106" s="25">
        <v>2017</v>
      </c>
    </row>
    <row r="107" spans="2:9" ht="15.75" customHeight="1">
      <c r="B107" s="48" t="s">
        <v>156</v>
      </c>
      <c r="C107" s="49">
        <v>0.3793632663534941</v>
      </c>
      <c r="D107" s="49">
        <v>0.39839723682251421</v>
      </c>
      <c r="E107" s="49">
        <v>0.44759426135422897</v>
      </c>
      <c r="F107" s="49">
        <v>0.48562149570563989</v>
      </c>
      <c r="G107" s="49">
        <v>0.39036735341946005</v>
      </c>
      <c r="H107" s="25"/>
    </row>
    <row r="108" spans="2:9" ht="15.75" customHeight="1">
      <c r="B108" s="26" t="s">
        <v>157</v>
      </c>
      <c r="C108" s="28">
        <v>477673022</v>
      </c>
      <c r="D108" s="28">
        <v>395416055</v>
      </c>
      <c r="E108" s="28">
        <v>372939122</v>
      </c>
      <c r="F108" s="28">
        <v>343107147</v>
      </c>
      <c r="G108" s="28">
        <v>258693086</v>
      </c>
    </row>
    <row r="109" spans="2:9" ht="15.75" customHeight="1">
      <c r="B109" s="26" t="s">
        <v>31</v>
      </c>
      <c r="C109" s="28">
        <v>1259144109</v>
      </c>
      <c r="D109" s="28">
        <v>992517062</v>
      </c>
      <c r="E109" s="28">
        <v>833208006</v>
      </c>
      <c r="F109" s="28">
        <v>706532042</v>
      </c>
      <c r="G109" s="28">
        <v>662691395</v>
      </c>
    </row>
    <row r="110" spans="2:9" ht="15.75" customHeight="1">
      <c r="B110" s="48" t="s">
        <v>158</v>
      </c>
      <c r="C110" s="50">
        <v>7.3850530161992764E-2</v>
      </c>
      <c r="D110" s="50">
        <v>8.2464945071140758E-2</v>
      </c>
      <c r="E110" s="50">
        <v>8.5123992435569562E-2</v>
      </c>
      <c r="F110" s="50">
        <v>7.541207451706769E-2</v>
      </c>
      <c r="G110" s="50">
        <v>7.1576544312907525E-2</v>
      </c>
    </row>
    <row r="111" spans="2:9" ht="15.75" customHeight="1">
      <c r="B111" s="26" t="s">
        <v>159</v>
      </c>
      <c r="C111" s="28">
        <v>92988460</v>
      </c>
      <c r="D111" s="28">
        <v>81847865</v>
      </c>
      <c r="E111" s="28">
        <v>70925992</v>
      </c>
      <c r="F111" s="28">
        <v>53281047</v>
      </c>
      <c r="G111" s="28">
        <v>47433160</v>
      </c>
    </row>
    <row r="112" spans="2:9" ht="15.75" customHeight="1">
      <c r="B112" s="48" t="s">
        <v>160</v>
      </c>
      <c r="C112" s="50">
        <v>0.49171115011744854</v>
      </c>
      <c r="D112" s="50">
        <v>0.45446058840648929</v>
      </c>
      <c r="E112" s="50">
        <v>0.35671873752974959</v>
      </c>
      <c r="F112" s="50">
        <v>0.36993280907704396</v>
      </c>
      <c r="G112" s="50">
        <v>0.47395078670064822</v>
      </c>
    </row>
    <row r="113" spans="2:14" ht="15.75" customHeight="1">
      <c r="B113" s="26" t="s">
        <v>161</v>
      </c>
      <c r="C113" s="28">
        <v>619135198</v>
      </c>
      <c r="D113" s="28">
        <v>451059888</v>
      </c>
      <c r="E113" s="28">
        <v>297220908</v>
      </c>
      <c r="F113" s="28">
        <v>261369383</v>
      </c>
      <c r="G113" s="28">
        <v>314083108</v>
      </c>
    </row>
    <row r="114" spans="2:14" ht="15.75" customHeight="1"/>
    <row r="115" spans="2:14" ht="15.75" customHeight="1">
      <c r="B115" s="25" t="s">
        <v>162</v>
      </c>
    </row>
    <row r="116" spans="2:14" ht="15.75" customHeight="1">
      <c r="B116" s="51" t="s">
        <v>163</v>
      </c>
      <c r="C116" s="52">
        <v>8.8934105101129507E-2</v>
      </c>
      <c r="D116" s="52">
        <v>3.6113770207443038E-2</v>
      </c>
      <c r="E116" s="52">
        <v>1.8236678993626344E-2</v>
      </c>
      <c r="F116" s="52">
        <v>4.3469027014322849E-2</v>
      </c>
      <c r="G116" s="52">
        <v>-3.614759468943473E-2</v>
      </c>
    </row>
    <row r="117" spans="2:14" ht="15.75" customHeight="1">
      <c r="B117" s="51" t="s">
        <v>164</v>
      </c>
      <c r="C117" s="52">
        <v>1.2181678995728362E-2</v>
      </c>
      <c r="D117" s="52">
        <v>5.9101616533350602E-3</v>
      </c>
      <c r="E117" s="52">
        <v>2.3198739702196373E-3</v>
      </c>
      <c r="F117" s="52">
        <v>4.782518939849008E-3</v>
      </c>
      <c r="G117" s="52">
        <v>-4.8996183428574609E-3</v>
      </c>
    </row>
    <row r="118" spans="2:14" ht="15.75" customHeight="1">
      <c r="B118" s="26" t="s">
        <v>165</v>
      </c>
      <c r="C118" s="53">
        <v>1.0433798373482352E-2</v>
      </c>
      <c r="D118" s="53">
        <v>4.994099190029095E-3</v>
      </c>
      <c r="E118" s="53">
        <v>2.0736021819601808E-3</v>
      </c>
      <c r="F118" s="53">
        <v>4.2569063710001936E-3</v>
      </c>
      <c r="G118" s="53">
        <v>-4.5475973795449636E-3</v>
      </c>
    </row>
    <row r="119" spans="2:14" ht="15.75" customHeight="1">
      <c r="B119" s="26" t="s">
        <v>166</v>
      </c>
      <c r="C119" s="28">
        <v>409134406</v>
      </c>
      <c r="D119" s="28">
        <v>334127409</v>
      </c>
      <c r="E119" s="28">
        <v>333326297</v>
      </c>
      <c r="F119" s="28">
        <v>305398686</v>
      </c>
      <c r="G119" s="28">
        <v>240106865</v>
      </c>
    </row>
    <row r="120" spans="2:14" ht="15.75" customHeight="1"/>
    <row r="121" spans="2:14" ht="15.75" customHeight="1">
      <c r="B121" s="54" t="s">
        <v>167</v>
      </c>
      <c r="C121" s="55"/>
      <c r="D121" s="55"/>
      <c r="E121" s="55"/>
      <c r="F121" s="55"/>
      <c r="G121" s="55"/>
    </row>
    <row r="122" spans="2:14" ht="15.75" customHeight="1">
      <c r="B122" s="54" t="s">
        <v>168</v>
      </c>
      <c r="C122" s="55">
        <v>1299.2421770526878</v>
      </c>
      <c r="D122" s="55">
        <v>1417.7326978323322</v>
      </c>
      <c r="E122" s="55">
        <v>931.49734536766653</v>
      </c>
      <c r="F122" s="55">
        <v>587.85858317856196</v>
      </c>
      <c r="G122" s="55">
        <v>652.61034658511721</v>
      </c>
    </row>
    <row r="123" spans="2:14" ht="15.75" customHeight="1">
      <c r="B123" s="54" t="s">
        <v>169</v>
      </c>
      <c r="C123" s="55"/>
      <c r="D123" s="55"/>
      <c r="E123" s="55"/>
      <c r="F123" s="55"/>
      <c r="G123" s="55"/>
    </row>
    <row r="124" spans="2:14" ht="15.75" customHeight="1">
      <c r="B124" s="55" t="s">
        <v>170</v>
      </c>
      <c r="C124" s="55">
        <v>0.1026884561137312</v>
      </c>
      <c r="D124" s="55">
        <v>8.9707083604399607E-2</v>
      </c>
      <c r="E124" s="55">
        <v>6.4720883167952672E-2</v>
      </c>
      <c r="F124" s="55">
        <v>7.8311381765638913E-2</v>
      </c>
      <c r="G124" s="55">
        <v>0.11358510169017981</v>
      </c>
    </row>
    <row r="125" spans="2:14" ht="15.75" customHeight="1">
      <c r="B125" s="55" t="s">
        <v>171</v>
      </c>
      <c r="C125" s="55">
        <v>9.0941298568388548E-2</v>
      </c>
      <c r="D125" s="55">
        <v>0.12161881039884286</v>
      </c>
      <c r="E125" s="55">
        <v>0.13882526600948358</v>
      </c>
      <c r="F125" s="55">
        <v>0.12911595978429982</v>
      </c>
      <c r="G125" s="55">
        <v>0.10333239788213713</v>
      </c>
    </row>
    <row r="126" spans="2:14" ht="15.75" customHeight="1"/>
    <row r="127" spans="2:14" ht="15.75" customHeight="1">
      <c r="J127" s="25">
        <v>2021</v>
      </c>
      <c r="K127" s="25">
        <v>2020</v>
      </c>
      <c r="L127" s="25">
        <v>2019</v>
      </c>
      <c r="M127" s="25">
        <v>2018</v>
      </c>
      <c r="N127" s="25">
        <v>2017</v>
      </c>
    </row>
    <row r="128" spans="2:14" ht="15.75" customHeight="1">
      <c r="B128" s="26" t="s">
        <v>172</v>
      </c>
      <c r="C128" s="53">
        <v>8.8934105101129507E-2</v>
      </c>
      <c r="D128" s="53">
        <v>3.6113770207443038E-2</v>
      </c>
      <c r="E128" s="53">
        <v>1.8236678993626344E-2</v>
      </c>
      <c r="F128" s="53">
        <v>4.3469027014322849E-2</v>
      </c>
      <c r="G128" s="53">
        <v>-3.614759468943473E-2</v>
      </c>
      <c r="I128" s="26" t="s">
        <v>173</v>
      </c>
      <c r="J128" s="28">
        <v>50910076</v>
      </c>
      <c r="K128" s="28">
        <v>30042628</v>
      </c>
      <c r="L128" s="28">
        <v>21915115</v>
      </c>
      <c r="M128" s="28">
        <v>20766755</v>
      </c>
      <c r="N128" s="28">
        <v>49145554</v>
      </c>
    </row>
    <row r="129" spans="2:7" ht="15.75" customHeight="1">
      <c r="B129" s="26" t="s">
        <v>174</v>
      </c>
      <c r="C129" s="53">
        <v>0.45348400505538256</v>
      </c>
      <c r="D129" s="53">
        <v>0.44510022855172998</v>
      </c>
      <c r="E129" s="53">
        <v>0.61924149046760169</v>
      </c>
      <c r="F129" s="53">
        <v>0.77874826999626579</v>
      </c>
      <c r="G129" s="53">
        <v>0.82202590265438547</v>
      </c>
    </row>
    <row r="130" spans="2:7" ht="15.75" customHeight="1">
      <c r="B130" s="26" t="s">
        <v>175</v>
      </c>
      <c r="C130" s="53">
        <v>4.0426363377863699E-2</v>
      </c>
      <c r="D130" s="53">
        <v>3.0257862432900587E-2</v>
      </c>
      <c r="E130" s="53">
        <v>2.6294676768589726E-2</v>
      </c>
      <c r="F130" s="53">
        <v>2.9386941891121961E-2</v>
      </c>
      <c r="G130" s="53">
        <v>7.4132886847757415E-2</v>
      </c>
    </row>
    <row r="131" spans="2:7" ht="15.75" customHeight="1"/>
    <row r="132" spans="2:7" ht="15.75" customHeight="1">
      <c r="B132" s="25" t="s">
        <v>162</v>
      </c>
    </row>
    <row r="133" spans="2:7" ht="15.75" customHeight="1">
      <c r="B133" s="26" t="s">
        <v>99</v>
      </c>
      <c r="C133" s="53">
        <v>2.5121787179347967E-2</v>
      </c>
      <c r="D133" s="53">
        <v>3.0347781402047521E-2</v>
      </c>
      <c r="E133" s="53">
        <v>2.6794391390056745E-2</v>
      </c>
      <c r="F133" s="53">
        <v>2.9126761384542073E-2</v>
      </c>
      <c r="G133" s="53">
        <v>1.9300090610075291E-2</v>
      </c>
    </row>
    <row r="134" spans="2:7" ht="15.75" customHeight="1">
      <c r="B134" s="31" t="s">
        <v>100</v>
      </c>
      <c r="C134" s="53">
        <v>1.0433798373482352E-2</v>
      </c>
      <c r="D134" s="53">
        <v>4.3921137716463948E-3</v>
      </c>
      <c r="E134" s="53">
        <v>2.0736021819601808E-3</v>
      </c>
      <c r="F134" s="53">
        <v>5.6125451438439515E-3</v>
      </c>
      <c r="G134" s="53">
        <v>-4.5475973795449636E-3</v>
      </c>
    </row>
    <row r="135" spans="2:7" ht="15.75" customHeight="1"/>
    <row r="136" spans="2:7" ht="15.75" customHeight="1"/>
    <row r="137" spans="2:7" ht="15.75" customHeight="1"/>
    <row r="138" spans="2:7" ht="15.75" customHeight="1">
      <c r="B138" s="28">
        <v>9715733</v>
      </c>
      <c r="C138" s="28">
        <v>10856997</v>
      </c>
      <c r="D138" s="28">
        <v>7017901</v>
      </c>
      <c r="E138" s="28">
        <v>4431278</v>
      </c>
      <c r="F138" s="28">
        <v>5121686</v>
      </c>
    </row>
    <row r="139" spans="2:7" ht="15.75" customHeight="1"/>
    <row r="140" spans="2:7" ht="15.75" customHeight="1"/>
    <row r="141" spans="2:7" ht="15.75" customHeight="1"/>
    <row r="142" spans="2:7" ht="15.75" customHeight="1">
      <c r="D142" s="26" t="s">
        <v>176</v>
      </c>
    </row>
  </sheetData>
  <pageMargins left="0.7" right="0.7" top="0.75" bottom="0.75" header="0" footer="0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workbookViewId="0">
      <selection activeCell="D34" sqref="D34"/>
    </sheetView>
  </sheetViews>
  <sheetFormatPr defaultColWidth="14" defaultRowHeight="15" customHeight="1"/>
  <cols>
    <col min="1" max="1" width="8.75" style="1" customWidth="1"/>
    <col min="2" max="2" width="8.875" style="1" customWidth="1"/>
    <col min="3" max="3" width="46.375" style="1" customWidth="1"/>
    <col min="4" max="4" width="102.375" style="1" customWidth="1"/>
    <col min="5" max="5" width="20.125" style="1" customWidth="1"/>
    <col min="6" max="7" width="19" style="1" customWidth="1"/>
    <col min="8" max="9" width="19.375" style="1" customWidth="1"/>
    <col min="10" max="11" width="8.875" style="1" customWidth="1"/>
    <col min="12" max="12" width="33.25" style="1" customWidth="1"/>
    <col min="13" max="13" width="17.75" style="1" customWidth="1"/>
    <col min="14" max="14" width="16" style="1" customWidth="1"/>
    <col min="15" max="17" width="13.25" style="1" customWidth="1"/>
    <col min="18" max="18" width="8.75" style="1" customWidth="1"/>
  </cols>
  <sheetData>
    <row r="1" spans="1:17" ht="61.5">
      <c r="A1" s="1" t="s">
        <v>177</v>
      </c>
      <c r="C1" s="127" t="s">
        <v>178</v>
      </c>
      <c r="D1" s="128"/>
      <c r="E1" s="128"/>
      <c r="F1" s="128"/>
      <c r="G1" s="128"/>
      <c r="H1" s="128"/>
      <c r="I1" s="128"/>
    </row>
    <row r="2" spans="1:17">
      <c r="E2" s="56">
        <v>2021</v>
      </c>
      <c r="F2" s="56">
        <v>2020</v>
      </c>
      <c r="G2" s="56">
        <v>2019</v>
      </c>
      <c r="H2" s="56">
        <v>2018</v>
      </c>
      <c r="I2" s="56">
        <v>2017</v>
      </c>
    </row>
    <row r="3" spans="1:17">
      <c r="C3" s="57"/>
      <c r="D3" s="58" t="s">
        <v>179</v>
      </c>
      <c r="E3" s="59"/>
      <c r="F3" s="59"/>
      <c r="G3" s="59"/>
      <c r="H3" s="59"/>
      <c r="I3" s="59"/>
    </row>
    <row r="4" spans="1:17">
      <c r="C4" s="60" t="s">
        <v>180</v>
      </c>
      <c r="D4" s="61" t="s">
        <v>181</v>
      </c>
      <c r="E4" s="62">
        <v>0.17336872560295868</v>
      </c>
      <c r="F4" s="62">
        <v>0.19855054586784965</v>
      </c>
      <c r="G4" s="62">
        <v>0.16550801169835996</v>
      </c>
      <c r="H4" s="62">
        <v>0.13188185686457357</v>
      </c>
      <c r="I4" s="62">
        <v>0.15737129698491048</v>
      </c>
    </row>
    <row r="5" spans="1:17">
      <c r="C5" s="63" t="s">
        <v>182</v>
      </c>
      <c r="D5" s="64" t="s">
        <v>183</v>
      </c>
      <c r="E5" s="62">
        <v>7.7150101433810826E-3</v>
      </c>
      <c r="F5" s="62">
        <v>1.0934779795576284E-2</v>
      </c>
      <c r="G5" s="62">
        <v>8.420372806118636E-3</v>
      </c>
      <c r="H5" s="62">
        <v>6.2706816298168455E-3</v>
      </c>
      <c r="I5" s="62">
        <v>7.7257317865974872E-3</v>
      </c>
    </row>
    <row r="6" spans="1:17">
      <c r="C6" s="63" t="s">
        <v>133</v>
      </c>
      <c r="D6" s="64" t="s">
        <v>184</v>
      </c>
      <c r="E6" s="62">
        <v>8.8210074096545781E-3</v>
      </c>
      <c r="F6" s="62">
        <v>1.003808026785446E-2</v>
      </c>
      <c r="G6" s="62">
        <v>4.510682648017403E-3</v>
      </c>
      <c r="H6" s="62">
        <v>3.8468480103740765E-3</v>
      </c>
      <c r="I6" s="62">
        <v>1.5884803839699042E-3</v>
      </c>
    </row>
    <row r="7" spans="1:17">
      <c r="C7" s="63" t="s">
        <v>135</v>
      </c>
      <c r="D7" s="64" t="s">
        <v>185</v>
      </c>
      <c r="E7" s="62">
        <v>3.5523015712316738E-3</v>
      </c>
      <c r="F7" s="62">
        <v>7.8762705827105477E-3</v>
      </c>
      <c r="G7" s="62">
        <v>7.8359357369726969E-3</v>
      </c>
      <c r="H7" s="62">
        <v>5.6178598605127047E-3</v>
      </c>
      <c r="I7" s="62">
        <v>1.0964767682626378E-2</v>
      </c>
    </row>
    <row r="8" spans="1:17">
      <c r="C8" s="63" t="s">
        <v>186</v>
      </c>
      <c r="D8" s="64" t="s">
        <v>187</v>
      </c>
      <c r="E8" s="62">
        <v>1.6643605039672688E-2</v>
      </c>
      <c r="F8" s="62">
        <v>2.0043523376531695E-2</v>
      </c>
      <c r="G8" s="62">
        <v>1.3564801232658222E-2</v>
      </c>
      <c r="H8" s="62">
        <v>1.1308080630257619E-2</v>
      </c>
      <c r="I8" s="62">
        <v>1.1105960240446029E-2</v>
      </c>
    </row>
    <row r="9" spans="1:17">
      <c r="C9" s="63" t="s">
        <v>188</v>
      </c>
      <c r="D9" s="64" t="s">
        <v>189</v>
      </c>
      <c r="E9" s="62">
        <v>7.71</v>
      </c>
      <c r="F9" s="62">
        <v>8.61</v>
      </c>
      <c r="G9" s="62">
        <v>5.58</v>
      </c>
      <c r="H9" s="62">
        <v>3.51</v>
      </c>
      <c r="I9" s="62">
        <v>4.0599999999999996</v>
      </c>
    </row>
    <row r="10" spans="1:17">
      <c r="C10" s="63" t="s">
        <v>138</v>
      </c>
      <c r="D10" s="64" t="s">
        <v>190</v>
      </c>
      <c r="E10" s="62">
        <v>4.5146994157875403E-2</v>
      </c>
      <c r="F10" s="62">
        <v>5.5620082758119291E-2</v>
      </c>
      <c r="G10" s="62">
        <v>6.264385394512989E-2</v>
      </c>
      <c r="H10" s="62">
        <v>3.4260092276836303E-2</v>
      </c>
      <c r="I10" s="62">
        <v>2.6674580597265796E-2</v>
      </c>
    </row>
    <row r="11" spans="1:17" hidden="1">
      <c r="C11" s="65" t="s">
        <v>139</v>
      </c>
      <c r="D11" s="66"/>
      <c r="E11" s="67" t="s">
        <v>53</v>
      </c>
      <c r="F11" s="67" t="s">
        <v>54</v>
      </c>
      <c r="G11" s="67">
        <v>71704373</v>
      </c>
      <c r="H11" s="67">
        <v>43669883</v>
      </c>
      <c r="I11" s="67">
        <v>36267220</v>
      </c>
      <c r="L11" s="26"/>
      <c r="M11" s="28"/>
      <c r="N11" s="28"/>
      <c r="O11" s="28"/>
      <c r="P11" s="28"/>
      <c r="Q11" s="28"/>
    </row>
    <row r="12" spans="1:17" hidden="1">
      <c r="C12" s="65" t="s">
        <v>140</v>
      </c>
      <c r="D12" s="66"/>
      <c r="E12" s="67">
        <v>1154362175</v>
      </c>
      <c r="F12" s="67">
        <v>900147871</v>
      </c>
      <c r="G12" s="67">
        <v>754485153</v>
      </c>
      <c r="H12" s="67">
        <v>646435135</v>
      </c>
      <c r="I12" s="67">
        <v>609263684</v>
      </c>
      <c r="L12" s="26"/>
      <c r="M12" s="28"/>
      <c r="N12" s="28"/>
      <c r="O12" s="28"/>
      <c r="P12" s="28"/>
      <c r="Q12" s="28"/>
    </row>
    <row r="13" spans="1:17" hidden="1">
      <c r="C13" s="65" t="s">
        <v>141</v>
      </c>
      <c r="D13" s="66"/>
      <c r="E13" s="67">
        <v>21320999</v>
      </c>
      <c r="F13" s="67">
        <v>20309105</v>
      </c>
      <c r="G13" s="67">
        <v>18377125</v>
      </c>
      <c r="H13" s="67">
        <v>15891521</v>
      </c>
      <c r="I13" s="67">
        <v>15142197</v>
      </c>
      <c r="L13" s="26"/>
      <c r="M13" s="28"/>
      <c r="N13" s="28"/>
      <c r="O13" s="28"/>
      <c r="P13" s="28"/>
      <c r="Q13" s="28"/>
    </row>
    <row r="14" spans="1:17" ht="17.25" hidden="1">
      <c r="C14" s="65" t="s">
        <v>90</v>
      </c>
      <c r="D14" s="66"/>
      <c r="E14" s="67">
        <v>911482373</v>
      </c>
      <c r="F14" s="67">
        <v>664694832</v>
      </c>
      <c r="G14" s="67">
        <v>567306696</v>
      </c>
      <c r="H14" s="67">
        <v>477296785</v>
      </c>
      <c r="I14" s="67">
        <v>460925390</v>
      </c>
      <c r="L14" s="26"/>
      <c r="M14" s="28"/>
      <c r="N14" s="29"/>
      <c r="O14" s="28"/>
      <c r="P14" s="29"/>
      <c r="Q14" s="28"/>
    </row>
    <row r="15" spans="1:17" ht="24">
      <c r="C15" s="137" t="s">
        <v>270</v>
      </c>
      <c r="D15" s="138"/>
      <c r="E15" s="68"/>
      <c r="F15" s="68"/>
      <c r="G15" s="68"/>
      <c r="H15" s="68"/>
      <c r="I15" s="68"/>
      <c r="L15" s="26"/>
      <c r="M15" s="28"/>
      <c r="N15" s="29"/>
      <c r="O15" s="28"/>
      <c r="P15" s="28"/>
      <c r="Q15" s="28"/>
    </row>
    <row r="16" spans="1:17" ht="17.25">
      <c r="C16" s="60" t="s">
        <v>180</v>
      </c>
      <c r="D16" s="61" t="s">
        <v>191</v>
      </c>
      <c r="E16" s="62">
        <v>0.17336872560295868</v>
      </c>
      <c r="F16" s="62">
        <v>0.19855054586784968</v>
      </c>
      <c r="G16" s="62">
        <v>0.16550801169835999</v>
      </c>
      <c r="H16" s="62">
        <v>0.13188185686457357</v>
      </c>
      <c r="I16" s="62">
        <v>0.15737129698491045</v>
      </c>
      <c r="L16" s="26"/>
      <c r="M16" s="28">
        <v>291805374</v>
      </c>
      <c r="N16" s="29">
        <v>273510554</v>
      </c>
      <c r="O16" s="28">
        <v>223592292</v>
      </c>
      <c r="P16" s="28">
        <v>195687420</v>
      </c>
      <c r="Q16" s="28">
        <v>169327257</v>
      </c>
    </row>
    <row r="17" spans="3:17">
      <c r="C17" s="63" t="s">
        <v>192</v>
      </c>
      <c r="D17" s="64" t="s">
        <v>183</v>
      </c>
      <c r="E17" s="67">
        <v>7.7150101433810826E-3</v>
      </c>
      <c r="F17" s="67">
        <v>1.0934779795576284E-2</v>
      </c>
      <c r="G17" s="67">
        <v>8.420372806118636E-3</v>
      </c>
      <c r="H17" s="67">
        <v>6.2706816298168455E-3</v>
      </c>
      <c r="I17" s="67">
        <v>7.7257317865974872E-3</v>
      </c>
      <c r="L17" s="69" t="s">
        <v>193</v>
      </c>
      <c r="M17" s="70">
        <v>911482373</v>
      </c>
      <c r="N17" s="70">
        <v>664694832</v>
      </c>
      <c r="O17" s="70">
        <v>567306696</v>
      </c>
      <c r="P17" s="70">
        <v>477296785</v>
      </c>
      <c r="Q17" s="70">
        <v>460925390</v>
      </c>
    </row>
    <row r="18" spans="3:17">
      <c r="C18" s="63" t="s">
        <v>194</v>
      </c>
      <c r="D18" s="64" t="s">
        <v>195</v>
      </c>
      <c r="E18" s="67">
        <v>22.471613436788079</v>
      </c>
      <c r="F18" s="67">
        <v>18.157708667180859</v>
      </c>
      <c r="G18" s="67">
        <v>19.655663176586923</v>
      </c>
      <c r="H18" s="67">
        <v>21.031502578201465</v>
      </c>
      <c r="I18" s="67">
        <v>20.369759309780392</v>
      </c>
    </row>
    <row r="19" spans="3:17">
      <c r="C19" s="63" t="s">
        <v>196</v>
      </c>
      <c r="D19" s="64" t="s">
        <v>197</v>
      </c>
      <c r="E19" s="67">
        <v>0.874617805550987</v>
      </c>
      <c r="F19" s="67">
        <v>1.0893297825674277</v>
      </c>
      <c r="G19" s="67">
        <v>1.8667624089714387</v>
      </c>
      <c r="H19" s="67">
        <v>1.630083021971817</v>
      </c>
      <c r="I19" s="67">
        <v>4.8635991130651952</v>
      </c>
      <c r="L19" s="25"/>
      <c r="M19" s="28"/>
      <c r="N19" s="28"/>
      <c r="O19" s="28"/>
      <c r="P19" s="46"/>
      <c r="Q19" s="28"/>
    </row>
    <row r="20" spans="3:17">
      <c r="C20" s="63" t="s">
        <v>198</v>
      </c>
      <c r="D20" s="64" t="s">
        <v>199</v>
      </c>
      <c r="E20" s="67">
        <v>8.8210074096545781E-3</v>
      </c>
      <c r="F20" s="67">
        <v>1.003808026785446E-2</v>
      </c>
      <c r="G20" s="67">
        <v>4.510682648017403E-3</v>
      </c>
      <c r="H20" s="67">
        <v>3.8468480103740765E-3</v>
      </c>
      <c r="I20" s="67">
        <v>1.5884803839699042E-3</v>
      </c>
      <c r="L20" s="25"/>
      <c r="M20" s="26"/>
      <c r="N20" s="26"/>
      <c r="O20" s="28"/>
      <c r="P20" s="26"/>
      <c r="Q20" s="28"/>
    </row>
    <row r="21" spans="3:17" ht="23.25">
      <c r="C21" s="137" t="s">
        <v>271</v>
      </c>
      <c r="D21" s="138"/>
      <c r="E21" s="68"/>
      <c r="F21" s="68"/>
      <c r="G21" s="68"/>
      <c r="H21" s="68"/>
      <c r="I21" s="68"/>
      <c r="L21" s="25"/>
      <c r="M21" s="46"/>
      <c r="N21" s="46"/>
      <c r="O21" s="46"/>
      <c r="P21" s="46"/>
      <c r="Q21" s="46"/>
    </row>
    <row r="22" spans="3:17" ht="15.75" customHeight="1">
      <c r="C22" s="60" t="s">
        <v>180</v>
      </c>
      <c r="D22" s="61" t="s">
        <v>200</v>
      </c>
      <c r="E22" s="62">
        <v>0.17336872560295868</v>
      </c>
      <c r="F22" s="62">
        <v>0.19855054586784968</v>
      </c>
      <c r="G22" s="62">
        <v>0.16550801169835996</v>
      </c>
      <c r="H22" s="62">
        <v>0.13188185686457354</v>
      </c>
      <c r="I22" s="62">
        <v>0.15737129698491045</v>
      </c>
      <c r="L22" s="25"/>
      <c r="M22" s="70">
        <v>104966435</v>
      </c>
      <c r="N22" s="28">
        <v>92738790</v>
      </c>
      <c r="O22" s="28">
        <v>78957874</v>
      </c>
      <c r="P22" s="28">
        <v>60230944</v>
      </c>
      <c r="Q22" s="28">
        <v>53674940</v>
      </c>
    </row>
    <row r="23" spans="3:17" ht="15.75" customHeight="1">
      <c r="C23" s="63" t="s">
        <v>201</v>
      </c>
      <c r="D23" s="64" t="s">
        <v>202</v>
      </c>
      <c r="E23" s="62">
        <v>0.61993417516786575</v>
      </c>
      <c r="F23" s="62">
        <v>0.60874432277217427</v>
      </c>
      <c r="G23" s="62">
        <v>0.67543789069455207</v>
      </c>
      <c r="H23" s="62">
        <v>0.64413212965271227</v>
      </c>
      <c r="I23" s="62">
        <v>0.61369888160241548</v>
      </c>
      <c r="L23" s="72" t="s">
        <v>203</v>
      </c>
      <c r="M23" s="70">
        <v>1154362175</v>
      </c>
      <c r="N23" s="70">
        <v>900147871</v>
      </c>
      <c r="O23" s="70">
        <v>754485153</v>
      </c>
      <c r="P23" s="70">
        <v>646435135</v>
      </c>
      <c r="Q23" s="70">
        <v>609263684</v>
      </c>
    </row>
    <row r="24" spans="3:17" ht="15.75" customHeight="1">
      <c r="C24" s="63" t="s">
        <v>204</v>
      </c>
      <c r="D24" s="64" t="s">
        <v>205</v>
      </c>
      <c r="E24" s="62">
        <v>1.4108236657773514</v>
      </c>
      <c r="F24" s="62">
        <v>1.7894701302620855</v>
      </c>
      <c r="G24" s="62">
        <v>2.7637809999848382</v>
      </c>
      <c r="H24" s="62">
        <v>2.5306655993867064</v>
      </c>
      <c r="I24" s="62">
        <v>7.9250578074477831</v>
      </c>
    </row>
    <row r="25" spans="3:17" ht="15.75" customHeight="1">
      <c r="C25" s="63" t="s">
        <v>206</v>
      </c>
      <c r="D25" s="64" t="s">
        <v>207</v>
      </c>
      <c r="E25" s="62">
        <v>8.8210074096545781E-3</v>
      </c>
      <c r="F25" s="62">
        <v>1.003808026785446E-2</v>
      </c>
      <c r="G25" s="62">
        <v>4.510682648017403E-3</v>
      </c>
      <c r="H25" s="62">
        <v>3.8468480103740765E-3</v>
      </c>
      <c r="I25" s="62">
        <v>1.5884803839699042E-3</v>
      </c>
    </row>
    <row r="26" spans="3:17" ht="15.75" customHeight="1">
      <c r="C26" s="63" t="s">
        <v>208</v>
      </c>
      <c r="D26" s="64" t="s">
        <v>209</v>
      </c>
      <c r="E26" s="62">
        <v>22.471613436788079</v>
      </c>
      <c r="F26" s="62">
        <v>18.157708667180859</v>
      </c>
      <c r="G26" s="62">
        <v>19.655663176586923</v>
      </c>
      <c r="H26" s="62">
        <v>21.031502578201465</v>
      </c>
      <c r="I26" s="62">
        <v>20.369759309780392</v>
      </c>
      <c r="M26" s="1">
        <v>2021</v>
      </c>
      <c r="N26" s="1">
        <v>2020</v>
      </c>
      <c r="O26" s="1">
        <v>2019</v>
      </c>
      <c r="P26" s="1">
        <v>2018</v>
      </c>
      <c r="Q26" s="1">
        <v>2017</v>
      </c>
    </row>
    <row r="27" spans="3:17" ht="15.75" customHeight="1">
      <c r="C27" s="71"/>
      <c r="D27" s="73"/>
      <c r="E27" s="74"/>
      <c r="F27" s="74"/>
      <c r="G27" s="74"/>
      <c r="H27" s="74"/>
      <c r="I27" s="74"/>
      <c r="L27" s="25" t="s">
        <v>75</v>
      </c>
      <c r="M27" s="28">
        <v>9715733</v>
      </c>
      <c r="N27" s="28">
        <v>10856997</v>
      </c>
      <c r="O27" s="28">
        <v>7017901</v>
      </c>
      <c r="P27" s="28">
        <v>4431278</v>
      </c>
      <c r="Q27" s="28">
        <v>5121686</v>
      </c>
    </row>
    <row r="28" spans="3:17" ht="15.75" customHeight="1">
      <c r="C28" s="26"/>
      <c r="D28" s="75"/>
      <c r="E28" s="26"/>
      <c r="F28" s="26"/>
      <c r="G28" s="26"/>
      <c r="H28" s="26"/>
      <c r="I28" s="26"/>
      <c r="L28" s="25" t="s">
        <v>51</v>
      </c>
      <c r="M28" s="28">
        <v>56040863</v>
      </c>
      <c r="N28" s="28">
        <v>54681275</v>
      </c>
      <c r="O28" s="28">
        <v>42402183</v>
      </c>
      <c r="P28" s="28">
        <v>33600361</v>
      </c>
      <c r="Q28" s="28">
        <v>32545236</v>
      </c>
    </row>
    <row r="29" spans="3:17" ht="15.75" customHeight="1">
      <c r="D29" s="26"/>
      <c r="G29" s="27"/>
      <c r="L29" s="25" t="s">
        <v>31</v>
      </c>
      <c r="M29" s="28">
        <v>1259328610</v>
      </c>
      <c r="N29" s="28">
        <v>992886661</v>
      </c>
      <c r="O29" s="28">
        <v>833443027</v>
      </c>
      <c r="P29" s="28">
        <v>706666079</v>
      </c>
      <c r="Q29" s="28">
        <v>662938624</v>
      </c>
    </row>
    <row r="30" spans="3:17" ht="15.75" customHeight="1">
      <c r="L30" s="25" t="s">
        <v>67</v>
      </c>
      <c r="M30" s="28">
        <v>21017376</v>
      </c>
      <c r="N30" s="28">
        <v>20217974</v>
      </c>
      <c r="O30" s="28">
        <v>18235061</v>
      </c>
      <c r="P30" s="28">
        <v>16240514</v>
      </c>
      <c r="Q30" s="28">
        <v>14948796</v>
      </c>
    </row>
    <row r="31" spans="3:17" ht="15.75" customHeight="1">
      <c r="L31" s="25" t="s">
        <v>65</v>
      </c>
      <c r="M31" s="28">
        <v>41977144</v>
      </c>
      <c r="N31" s="28">
        <v>40118921</v>
      </c>
      <c r="O31" s="28">
        <v>29540550</v>
      </c>
      <c r="P31" s="28">
        <v>24231551</v>
      </c>
      <c r="Q31" s="28">
        <v>22311366</v>
      </c>
    </row>
    <row r="32" spans="3:17" ht="15.75" customHeight="1">
      <c r="L32" s="25" t="s">
        <v>56</v>
      </c>
      <c r="M32" s="28">
        <v>32429546</v>
      </c>
      <c r="N32" s="28">
        <v>30275781</v>
      </c>
      <c r="O32" s="28">
        <v>22136522</v>
      </c>
      <c r="P32" s="28">
        <v>18609958</v>
      </c>
      <c r="Q32" s="28">
        <v>16195262</v>
      </c>
    </row>
    <row r="33" spans="12:18" ht="15.75" customHeight="1">
      <c r="L33" s="25" t="s">
        <v>210</v>
      </c>
      <c r="M33" s="28">
        <v>21320999</v>
      </c>
      <c r="N33" s="28">
        <v>20309105</v>
      </c>
      <c r="O33" s="28">
        <v>18377125</v>
      </c>
      <c r="P33" s="28">
        <v>15891521</v>
      </c>
      <c r="Q33" s="28">
        <v>15142197</v>
      </c>
    </row>
    <row r="34" spans="12:18" ht="15.75" customHeight="1">
      <c r="L34" s="25" t="s">
        <v>64</v>
      </c>
      <c r="M34" s="28">
        <v>9547598</v>
      </c>
      <c r="N34" s="28">
        <v>9843140</v>
      </c>
      <c r="O34" s="28">
        <v>7404028</v>
      </c>
      <c r="P34" s="28">
        <v>5621593</v>
      </c>
      <c r="Q34" s="28">
        <v>6116104</v>
      </c>
    </row>
    <row r="35" spans="12:18" ht="15.75" customHeight="1">
      <c r="L35" s="25" t="s">
        <v>69</v>
      </c>
      <c r="M35" s="46">
        <v>90139</v>
      </c>
      <c r="N35" s="46">
        <v>48149</v>
      </c>
      <c r="O35" s="46">
        <v>99947</v>
      </c>
      <c r="P35" s="46">
        <v>191067</v>
      </c>
      <c r="Q35" s="46">
        <v>23568</v>
      </c>
    </row>
    <row r="36" spans="12:18" ht="15.75" customHeight="1">
      <c r="L36" s="25" t="s">
        <v>71</v>
      </c>
      <c r="M36" s="46">
        <v>4983944</v>
      </c>
      <c r="N36" s="46">
        <v>1974747</v>
      </c>
      <c r="O36" s="46">
        <v>773275</v>
      </c>
      <c r="P36" s="46">
        <v>1460575</v>
      </c>
      <c r="Q36" s="46">
        <v>-1176432</v>
      </c>
    </row>
    <row r="37" spans="12:18" ht="15.75" customHeight="1">
      <c r="L37" s="25" t="s">
        <v>211</v>
      </c>
      <c r="M37" s="28">
        <v>21320999</v>
      </c>
      <c r="N37" s="28">
        <v>20309105</v>
      </c>
      <c r="O37" s="28">
        <v>18377125</v>
      </c>
      <c r="P37" s="28">
        <v>15891521</v>
      </c>
      <c r="Q37" s="28">
        <v>15142197</v>
      </c>
      <c r="R37" s="28"/>
    </row>
    <row r="38" spans="12:18" ht="15.75" customHeight="1">
      <c r="L38" s="25" t="s">
        <v>212</v>
      </c>
      <c r="M38" s="28">
        <v>11108547</v>
      </c>
      <c r="N38" s="28">
        <v>9966676</v>
      </c>
      <c r="O38" s="28">
        <v>3759397</v>
      </c>
      <c r="P38" s="28">
        <v>2718437</v>
      </c>
      <c r="Q38" s="28">
        <v>1053065</v>
      </c>
    </row>
    <row r="39" spans="12:18" ht="15.75" customHeight="1"/>
    <row r="40" spans="12:18" ht="15.75" customHeight="1"/>
    <row r="41" spans="12:18" ht="15.75" customHeight="1"/>
    <row r="42" spans="12:18" ht="15.75" customHeight="1"/>
    <row r="43" spans="12:18" ht="15.75" customHeight="1"/>
    <row r="44" spans="12:18" ht="15.75" customHeight="1"/>
    <row r="45" spans="12:18" ht="15.75" customHeight="1"/>
    <row r="46" spans="12:18" ht="15.75" customHeight="1"/>
    <row r="47" spans="12:18" ht="15.75" customHeight="1"/>
    <row r="48" spans="12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C1:I1"/>
    <mergeCell ref="C15:D15"/>
    <mergeCell ref="C21:D21"/>
  </mergeCell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1"/>
  <sheetViews>
    <sheetView topLeftCell="A3" zoomScale="50" workbookViewId="0">
      <selection activeCell="G77" sqref="G77"/>
    </sheetView>
  </sheetViews>
  <sheetFormatPr defaultColWidth="14" defaultRowHeight="15" customHeight="1"/>
  <cols>
    <col min="1" max="1" width="64.25" style="1" customWidth="1"/>
    <col min="2" max="2" width="13.625" style="1" customWidth="1"/>
    <col min="3" max="7" width="15.875" style="1" customWidth="1"/>
    <col min="8" max="8" width="29.625" style="1" customWidth="1"/>
    <col min="9" max="9" width="17.375" style="1" customWidth="1"/>
    <col min="10" max="13" width="15.875" style="1" customWidth="1"/>
  </cols>
  <sheetData>
    <row r="1" spans="1:13" ht="23.25">
      <c r="A1" s="135" t="s">
        <v>213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>
      <c r="A2" s="76"/>
      <c r="B2" s="76"/>
      <c r="C2" s="77">
        <v>2021</v>
      </c>
      <c r="D2" s="77">
        <v>2020</v>
      </c>
      <c r="E2" s="77">
        <v>2019</v>
      </c>
      <c r="F2" s="77">
        <v>2018</v>
      </c>
      <c r="G2" s="77">
        <v>2017</v>
      </c>
      <c r="H2" s="78"/>
      <c r="I2" s="78"/>
      <c r="J2" s="78"/>
      <c r="K2" s="78"/>
      <c r="L2" s="78"/>
      <c r="M2" s="78"/>
    </row>
    <row r="3" spans="1:13">
      <c r="A3" s="76" t="s">
        <v>99</v>
      </c>
      <c r="B3" s="67"/>
      <c r="C3" s="79">
        <v>6.5244059355732256E-2</v>
      </c>
      <c r="D3" s="79">
        <v>7.2673829594501416E-2</v>
      </c>
      <c r="E3" s="79">
        <v>7.5438513527685089E-2</v>
      </c>
      <c r="F3" s="79">
        <v>7.7693181949369305E-2</v>
      </c>
      <c r="G3" s="79">
        <v>0.10341608820577447</v>
      </c>
      <c r="H3" s="78"/>
      <c r="I3" s="78"/>
      <c r="J3" s="78"/>
      <c r="K3" s="78"/>
      <c r="L3" s="78"/>
      <c r="M3" s="78"/>
    </row>
    <row r="4" spans="1:13">
      <c r="A4" s="76" t="s">
        <v>100</v>
      </c>
      <c r="B4" s="67"/>
      <c r="C4" s="79">
        <v>1.0433798373482352E-2</v>
      </c>
      <c r="D4" s="79">
        <v>4.994099190029095E-3</v>
      </c>
      <c r="E4" s="79">
        <v>2.0734617378114599E-3</v>
      </c>
      <c r="F4" s="79">
        <v>4.2569063710001936E-3</v>
      </c>
      <c r="G4" s="79">
        <v>-4.5475973795449636E-3</v>
      </c>
      <c r="H4" s="78"/>
      <c r="I4" s="78"/>
      <c r="J4" s="78"/>
      <c r="K4" s="78"/>
      <c r="L4" s="78"/>
      <c r="M4" s="78"/>
    </row>
    <row r="5" spans="1:13">
      <c r="A5" s="76" t="s">
        <v>164</v>
      </c>
      <c r="B5" s="67"/>
      <c r="C5" s="79">
        <v>5.9703874170226844E-2</v>
      </c>
      <c r="D5" s="79">
        <v>6.2771662116754459E-2</v>
      </c>
      <c r="E5" s="79">
        <v>6.5447829310865374E-2</v>
      </c>
      <c r="F5" s="79">
        <v>7.3193371865261675E-2</v>
      </c>
      <c r="G5" s="79">
        <v>0.10903793926676494</v>
      </c>
      <c r="H5" s="78"/>
      <c r="I5" s="78"/>
      <c r="J5" s="78"/>
      <c r="K5" s="78"/>
      <c r="L5" s="78"/>
      <c r="M5" s="78"/>
    </row>
    <row r="6" spans="1:13">
      <c r="A6" s="76" t="s">
        <v>163</v>
      </c>
      <c r="B6" s="67"/>
      <c r="C6" s="79">
        <v>0.50889526808321994</v>
      </c>
      <c r="D6" s="79">
        <v>0.45391997534805106</v>
      </c>
      <c r="E6" s="79">
        <v>0.57563206120779209</v>
      </c>
      <c r="F6" s="79">
        <v>0.74740771386355043</v>
      </c>
      <c r="G6" s="79">
        <v>0.8667124429517119</v>
      </c>
      <c r="H6" s="78"/>
      <c r="I6" s="78"/>
      <c r="J6" s="78"/>
      <c r="K6" s="78"/>
      <c r="L6" s="78"/>
      <c r="M6" s="78"/>
    </row>
    <row r="7" spans="1:13">
      <c r="A7" s="76" t="s">
        <v>165</v>
      </c>
      <c r="B7" s="67"/>
      <c r="C7" s="79">
        <v>6.3282234096946763E-2</v>
      </c>
      <c r="D7" s="79">
        <v>6.6881578695634908E-2</v>
      </c>
      <c r="E7" s="79">
        <v>6.8737620935354696E-2</v>
      </c>
      <c r="F7" s="79">
        <v>7.6220574909796321E-2</v>
      </c>
      <c r="G7" s="79">
        <v>9.9139039224264383E-2</v>
      </c>
    </row>
    <row r="8" spans="1:13">
      <c r="A8" s="76" t="s">
        <v>172</v>
      </c>
      <c r="B8" s="67"/>
      <c r="C8" s="79">
        <v>0.53939597611121726</v>
      </c>
      <c r="D8" s="79">
        <v>0.48363996633216766</v>
      </c>
      <c r="E8" s="79">
        <v>0.60456670355863518</v>
      </c>
      <c r="F8" s="79">
        <v>0.77831973293382173</v>
      </c>
      <c r="G8" s="79">
        <v>0.78802882240583538</v>
      </c>
    </row>
    <row r="9" spans="1:13">
      <c r="A9" s="76" t="s">
        <v>174</v>
      </c>
      <c r="B9" s="67"/>
      <c r="C9" s="79">
        <v>0.55611789918367249</v>
      </c>
      <c r="D9" s="79">
        <v>0.52552540151999017</v>
      </c>
      <c r="E9" s="79">
        <v>0.66350293804448701</v>
      </c>
      <c r="F9" s="79">
        <v>0.79335713089511151</v>
      </c>
      <c r="G9" s="79">
        <v>0.82202590265438547</v>
      </c>
    </row>
    <row r="10" spans="1:13">
      <c r="A10" s="67"/>
      <c r="B10" s="67"/>
      <c r="C10" s="80"/>
      <c r="D10" s="80"/>
      <c r="E10" s="80"/>
      <c r="F10" s="80"/>
      <c r="G10" s="80"/>
    </row>
    <row r="11" spans="1:13" ht="23.25">
      <c r="A11" s="132" t="s">
        <v>214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4"/>
    </row>
    <row r="12" spans="1:13">
      <c r="A12" s="76"/>
      <c r="B12" s="76"/>
      <c r="C12" s="77">
        <v>2021</v>
      </c>
      <c r="D12" s="77">
        <v>2020</v>
      </c>
      <c r="E12" s="77">
        <v>2019</v>
      </c>
      <c r="F12" s="77">
        <v>2018</v>
      </c>
      <c r="G12" s="77">
        <v>2017</v>
      </c>
    </row>
    <row r="13" spans="1:13">
      <c r="A13" s="76" t="s">
        <v>175</v>
      </c>
      <c r="B13" s="67"/>
      <c r="C13" s="79">
        <v>4.0426363377863699E-2</v>
      </c>
      <c r="D13" s="79">
        <v>3.0257862432900587E-2</v>
      </c>
      <c r="E13" s="79">
        <v>2.6294676768589726E-2</v>
      </c>
      <c r="F13" s="79">
        <v>2.9386941891121961E-2</v>
      </c>
      <c r="G13" s="79">
        <v>7.4132886847757415E-2</v>
      </c>
    </row>
    <row r="14" spans="1:13">
      <c r="A14" s="76" t="s">
        <v>156</v>
      </c>
      <c r="B14" s="67"/>
      <c r="C14" s="79">
        <v>0.37930768681575494</v>
      </c>
      <c r="D14" s="79">
        <v>0.39824893467875888</v>
      </c>
      <c r="E14" s="79">
        <v>0.44746804510729921</v>
      </c>
      <c r="F14" s="79">
        <v>0.48552938537184265</v>
      </c>
      <c r="G14" s="79">
        <v>0.39022177413515735</v>
      </c>
    </row>
    <row r="15" spans="1:13">
      <c r="A15" s="76" t="s">
        <v>158</v>
      </c>
      <c r="B15" s="67"/>
      <c r="C15" s="79">
        <v>7.3839710510507653E-2</v>
      </c>
      <c r="D15" s="79">
        <v>8.2434247749451836E-2</v>
      </c>
      <c r="E15" s="79">
        <v>8.5099988484275843E-2</v>
      </c>
      <c r="F15" s="79">
        <v>7.539777071993857E-2</v>
      </c>
      <c r="G15" s="79">
        <v>7.1549851347928101E-2</v>
      </c>
    </row>
    <row r="16" spans="1:13">
      <c r="A16" s="76" t="s">
        <v>160</v>
      </c>
      <c r="B16" s="67"/>
      <c r="C16" s="79">
        <v>0.49163911077983052</v>
      </c>
      <c r="D16" s="79">
        <v>0.45429141685286473</v>
      </c>
      <c r="E16" s="79">
        <v>0.35661814709741402</v>
      </c>
      <c r="F16" s="79">
        <v>0.36986264201313107</v>
      </c>
      <c r="G16" s="79">
        <v>0.47377403673496027</v>
      </c>
    </row>
    <row r="17" spans="1:13">
      <c r="A17" s="67"/>
      <c r="B17" s="67"/>
      <c r="C17" s="80"/>
      <c r="D17" s="80"/>
      <c r="E17" s="80"/>
      <c r="F17" s="80"/>
      <c r="G17" s="80"/>
    </row>
    <row r="18" spans="1:13" ht="23.25">
      <c r="A18" s="132" t="s">
        <v>215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4"/>
    </row>
    <row r="19" spans="1:13">
      <c r="A19" s="76"/>
      <c r="B19" s="76"/>
      <c r="C19" s="77">
        <v>2021</v>
      </c>
      <c r="D19" s="77">
        <v>2020</v>
      </c>
      <c r="E19" s="77">
        <v>2019</v>
      </c>
      <c r="F19" s="77">
        <v>2018</v>
      </c>
      <c r="G19" s="77">
        <v>2017</v>
      </c>
    </row>
    <row r="20" spans="1:13">
      <c r="A20" s="76" t="s">
        <v>109</v>
      </c>
      <c r="B20" s="67"/>
      <c r="C20" s="81">
        <v>0.92043976829844276</v>
      </c>
      <c r="D20" s="81">
        <v>0.88446351078534635</v>
      </c>
      <c r="E20" s="81">
        <v>0.9354977385874752</v>
      </c>
      <c r="F20" s="81">
        <v>0.98285752725368891</v>
      </c>
      <c r="G20" s="81">
        <v>0.9394167626594645</v>
      </c>
    </row>
    <row r="21" spans="1:13" ht="15.75" customHeight="1">
      <c r="A21" s="76" t="s">
        <v>110</v>
      </c>
      <c r="B21" s="67"/>
      <c r="C21" s="81">
        <v>2.0145322434150774</v>
      </c>
      <c r="D21" s="81">
        <v>1.8503634031637453</v>
      </c>
      <c r="E21" s="81">
        <v>1.8085221143473571</v>
      </c>
      <c r="F21" s="81">
        <v>1.1116220735785953</v>
      </c>
      <c r="G21" s="81">
        <v>1.332988089073019</v>
      </c>
    </row>
    <row r="22" spans="1:13" ht="12" customHeight="1">
      <c r="A22" s="67"/>
      <c r="B22" s="67"/>
      <c r="C22" s="80"/>
      <c r="D22" s="80"/>
      <c r="E22" s="80"/>
      <c r="F22" s="80"/>
      <c r="G22" s="80"/>
    </row>
    <row r="23" spans="1:13" ht="15.75" hidden="1" customHeight="1">
      <c r="A23" s="67"/>
      <c r="B23" s="67"/>
      <c r="C23" s="80"/>
      <c r="D23" s="80"/>
      <c r="E23" s="80"/>
      <c r="F23" s="80"/>
      <c r="G23" s="80"/>
    </row>
    <row r="24" spans="1:13" ht="15.75" hidden="1" customHeight="1">
      <c r="A24" s="76" t="s">
        <v>94</v>
      </c>
      <c r="B24" s="76">
        <v>2021</v>
      </c>
      <c r="C24" s="77">
        <v>2020</v>
      </c>
      <c r="D24" s="77">
        <v>2019</v>
      </c>
      <c r="E24" s="77">
        <v>2018</v>
      </c>
      <c r="F24" s="77">
        <v>2017</v>
      </c>
      <c r="G24" s="80"/>
      <c r="H24" s="25" t="s">
        <v>94</v>
      </c>
      <c r="I24" s="25">
        <v>2021</v>
      </c>
      <c r="J24" s="25">
        <v>2020</v>
      </c>
      <c r="K24" s="25">
        <v>2019</v>
      </c>
      <c r="L24" s="25">
        <v>2018</v>
      </c>
      <c r="M24" s="25">
        <v>2017</v>
      </c>
    </row>
    <row r="25" spans="1:13" ht="15.75" hidden="1" customHeight="1">
      <c r="A25" s="76" t="s">
        <v>216</v>
      </c>
      <c r="B25" s="82">
        <v>31165327</v>
      </c>
      <c r="C25" s="83">
        <v>28736399</v>
      </c>
      <c r="D25" s="83">
        <v>28133973</v>
      </c>
      <c r="E25" s="83">
        <v>26657086</v>
      </c>
      <c r="F25" s="83">
        <v>26753027</v>
      </c>
      <c r="G25" s="80"/>
      <c r="H25" s="25" t="s">
        <v>217</v>
      </c>
      <c r="I25" s="28">
        <v>1222420697</v>
      </c>
      <c r="J25" s="28">
        <v>956675071</v>
      </c>
      <c r="K25" s="28">
        <v>786642860</v>
      </c>
      <c r="L25" s="28">
        <v>667452221</v>
      </c>
      <c r="M25" s="28">
        <v>633359777</v>
      </c>
    </row>
    <row r="26" spans="1:13" ht="15.75" hidden="1" customHeight="1">
      <c r="A26" s="76" t="s">
        <v>157</v>
      </c>
      <c r="B26" s="82">
        <v>477673022</v>
      </c>
      <c r="C26" s="83">
        <v>395416055</v>
      </c>
      <c r="D26" s="83">
        <v>372939122</v>
      </c>
      <c r="E26" s="83">
        <v>343107147</v>
      </c>
      <c r="F26" s="83">
        <v>258693086</v>
      </c>
      <c r="G26" s="80"/>
      <c r="H26" s="25" t="s">
        <v>218</v>
      </c>
      <c r="I26" s="28">
        <v>927695864</v>
      </c>
      <c r="J26" s="28">
        <v>904149338</v>
      </c>
      <c r="K26" s="28">
        <v>762804062</v>
      </c>
      <c r="L26" s="28">
        <v>622539224</v>
      </c>
      <c r="M26" s="28">
        <v>622539224</v>
      </c>
    </row>
    <row r="27" spans="1:13" ht="15.75" hidden="1" customHeight="1">
      <c r="A27" s="76" t="s">
        <v>219</v>
      </c>
      <c r="B27" s="82">
        <v>4983944</v>
      </c>
      <c r="C27" s="83">
        <v>1974747</v>
      </c>
      <c r="D27" s="84">
        <v>773275</v>
      </c>
      <c r="E27" s="84">
        <v>1460575</v>
      </c>
      <c r="F27" s="84">
        <v>-1176432</v>
      </c>
      <c r="G27" s="80"/>
      <c r="H27" s="25" t="s">
        <v>120</v>
      </c>
      <c r="I27" s="28">
        <v>610784723000</v>
      </c>
      <c r="J27" s="28">
        <v>755250763000</v>
      </c>
      <c r="K27" s="28">
        <v>389838134000</v>
      </c>
      <c r="L27" s="28">
        <v>314057678000</v>
      </c>
      <c r="M27" s="28">
        <v>288107323000</v>
      </c>
    </row>
    <row r="28" spans="1:13" ht="15.75" hidden="1" customHeight="1">
      <c r="A28" s="76" t="s">
        <v>220</v>
      </c>
      <c r="B28" s="82">
        <v>28518930</v>
      </c>
      <c r="C28" s="83">
        <v>24820923</v>
      </c>
      <c r="D28" s="83">
        <v>24408056</v>
      </c>
      <c r="E28" s="83">
        <v>25113169</v>
      </c>
      <c r="F28" s="83">
        <v>28207361</v>
      </c>
      <c r="G28" s="80"/>
      <c r="H28" s="25" t="s">
        <v>121</v>
      </c>
      <c r="I28" s="28">
        <v>1015430000000</v>
      </c>
      <c r="J28" s="28">
        <v>791187000000</v>
      </c>
      <c r="K28" s="28">
        <v>679299486000</v>
      </c>
      <c r="L28" s="28">
        <v>573635856000</v>
      </c>
      <c r="M28" s="28">
        <v>525808308000</v>
      </c>
    </row>
    <row r="29" spans="1:13" ht="15.75" hidden="1" customHeight="1">
      <c r="A29" s="76" t="s">
        <v>173</v>
      </c>
      <c r="B29" s="82">
        <v>50910076</v>
      </c>
      <c r="C29" s="83">
        <v>30042628</v>
      </c>
      <c r="D29" s="83">
        <v>21915115</v>
      </c>
      <c r="E29" s="83">
        <v>20766755</v>
      </c>
      <c r="F29" s="83">
        <v>49145554</v>
      </c>
      <c r="G29" s="80"/>
      <c r="H29" s="25" t="s">
        <v>221</v>
      </c>
      <c r="I29" s="26">
        <v>22.02</v>
      </c>
      <c r="J29" s="26">
        <v>23.39</v>
      </c>
      <c r="K29" s="26">
        <v>18.54</v>
      </c>
      <c r="L29" s="26">
        <v>23.92</v>
      </c>
      <c r="M29" s="26">
        <v>19.309999999999999</v>
      </c>
    </row>
    <row r="30" spans="1:13" ht="15.75" hidden="1" customHeight="1">
      <c r="A30" s="76" t="s">
        <v>51</v>
      </c>
      <c r="B30" s="82">
        <v>56040863</v>
      </c>
      <c r="C30" s="83">
        <v>54681275</v>
      </c>
      <c r="D30" s="83">
        <v>42402183</v>
      </c>
      <c r="E30" s="83">
        <v>33600361</v>
      </c>
      <c r="F30" s="83">
        <v>32545236</v>
      </c>
      <c r="G30" s="80"/>
      <c r="H30" s="25" t="s">
        <v>125</v>
      </c>
      <c r="I30" s="26">
        <v>7.7</v>
      </c>
      <c r="J30" s="26">
        <v>8.57</v>
      </c>
      <c r="K30" s="26">
        <v>5.57</v>
      </c>
      <c r="L30" s="26">
        <v>3.52</v>
      </c>
      <c r="M30" s="26">
        <v>4.18</v>
      </c>
    </row>
    <row r="31" spans="1:13" ht="15.75" hidden="1" customHeight="1">
      <c r="A31" s="76" t="s">
        <v>222</v>
      </c>
      <c r="B31" s="82">
        <v>30228216</v>
      </c>
      <c r="C31" s="83">
        <v>26446050</v>
      </c>
      <c r="D31" s="83">
        <v>25634948</v>
      </c>
      <c r="E31" s="83">
        <v>26151824</v>
      </c>
      <c r="F31" s="83">
        <v>25646584</v>
      </c>
      <c r="G31" s="80"/>
      <c r="H31" s="25" t="s">
        <v>51</v>
      </c>
      <c r="I31" s="28">
        <v>56040863</v>
      </c>
      <c r="J31" s="28">
        <v>54681275</v>
      </c>
      <c r="K31" s="28">
        <v>42402183</v>
      </c>
      <c r="L31" s="28">
        <v>33600361</v>
      </c>
      <c r="M31" s="28">
        <v>32545236</v>
      </c>
    </row>
    <row r="32" spans="1:13" ht="15.75" hidden="1" customHeight="1">
      <c r="A32" s="76" t="s">
        <v>31</v>
      </c>
      <c r="B32" s="82">
        <v>1259328610</v>
      </c>
      <c r="C32" s="83">
        <v>992886661</v>
      </c>
      <c r="D32" s="83">
        <v>833443027</v>
      </c>
      <c r="E32" s="83">
        <v>706666079</v>
      </c>
      <c r="F32" s="83">
        <v>662938624</v>
      </c>
      <c r="G32" s="80"/>
      <c r="H32" s="25" t="s">
        <v>31</v>
      </c>
      <c r="I32" s="28">
        <v>1259328610</v>
      </c>
      <c r="J32" s="28">
        <v>992886661</v>
      </c>
      <c r="K32" s="28">
        <v>833443027</v>
      </c>
      <c r="L32" s="28">
        <v>706666079</v>
      </c>
      <c r="M32" s="28">
        <v>662938624</v>
      </c>
    </row>
    <row r="33" spans="1:13" ht="15.75" hidden="1" customHeight="1">
      <c r="A33" s="76" t="s">
        <v>159</v>
      </c>
      <c r="B33" s="82">
        <v>92988460</v>
      </c>
      <c r="C33" s="83">
        <v>81847865</v>
      </c>
      <c r="D33" s="83">
        <v>70925992</v>
      </c>
      <c r="E33" s="83">
        <v>53281047</v>
      </c>
      <c r="F33" s="83">
        <v>47433160</v>
      </c>
      <c r="G33" s="80"/>
      <c r="H33" s="25" t="s">
        <v>173</v>
      </c>
      <c r="I33" s="28">
        <v>50910076</v>
      </c>
      <c r="J33" s="28">
        <v>30042628</v>
      </c>
      <c r="K33" s="28">
        <v>21915115</v>
      </c>
      <c r="L33" s="28">
        <v>20766755</v>
      </c>
      <c r="M33" s="28">
        <v>49145554</v>
      </c>
    </row>
    <row r="34" spans="1:13" ht="15.75" hidden="1" customHeight="1">
      <c r="A34" s="76" t="s">
        <v>161</v>
      </c>
      <c r="B34" s="82">
        <v>619135198</v>
      </c>
      <c r="C34" s="83">
        <v>451059888</v>
      </c>
      <c r="D34" s="83">
        <v>297220908</v>
      </c>
      <c r="E34" s="83">
        <v>261369383</v>
      </c>
      <c r="F34" s="83">
        <v>314083108</v>
      </c>
      <c r="G34" s="80"/>
      <c r="H34" s="25" t="s">
        <v>40</v>
      </c>
      <c r="I34" s="28">
        <v>1203287747</v>
      </c>
      <c r="J34" s="28">
        <v>938205386</v>
      </c>
      <c r="K34" s="28">
        <v>790898988</v>
      </c>
      <c r="L34" s="28">
        <v>672984205</v>
      </c>
      <c r="M34" s="28">
        <v>630252647</v>
      </c>
    </row>
    <row r="35" spans="1:13" ht="15.75" hidden="1" customHeight="1">
      <c r="A35" s="85" t="s">
        <v>112</v>
      </c>
      <c r="B35" s="86">
        <v>1260260180</v>
      </c>
      <c r="C35" s="87">
        <v>1260260180</v>
      </c>
      <c r="D35" s="87">
        <v>1260260180</v>
      </c>
      <c r="E35" s="87">
        <v>1260260180</v>
      </c>
      <c r="F35" s="87">
        <v>1260260180</v>
      </c>
      <c r="G35" s="80"/>
      <c r="H35" s="25" t="s">
        <v>51</v>
      </c>
      <c r="I35" s="28">
        <v>56040863</v>
      </c>
      <c r="J35" s="28">
        <v>54681275</v>
      </c>
      <c r="K35" s="28">
        <v>42402183</v>
      </c>
      <c r="L35" s="28">
        <v>33600361</v>
      </c>
      <c r="M35" s="28">
        <v>32545236</v>
      </c>
    </row>
    <row r="36" spans="1:13" ht="15.75" hidden="1" customHeight="1">
      <c r="A36" s="85" t="s">
        <v>113</v>
      </c>
      <c r="B36" s="88">
        <v>44.36</v>
      </c>
      <c r="C36" s="89">
        <v>43.28</v>
      </c>
      <c r="D36" s="89">
        <v>33.53</v>
      </c>
      <c r="E36" s="89">
        <v>26.59</v>
      </c>
      <c r="F36" s="89">
        <v>25.74</v>
      </c>
      <c r="G36" s="80"/>
      <c r="H36" s="25" t="s">
        <v>24</v>
      </c>
      <c r="I36" s="28">
        <v>616231172</v>
      </c>
      <c r="J36" s="28">
        <v>449611987</v>
      </c>
      <c r="K36" s="28">
        <v>305435633</v>
      </c>
      <c r="L36" s="46">
        <v>260233987</v>
      </c>
      <c r="M36" s="28">
        <v>314956748</v>
      </c>
    </row>
    <row r="37" spans="1:13" ht="15.75" hidden="1" customHeight="1">
      <c r="A37" s="76" t="s">
        <v>223</v>
      </c>
      <c r="B37" s="67">
        <v>55905141584.800003</v>
      </c>
      <c r="C37" s="80">
        <v>54544060590.400002</v>
      </c>
      <c r="D37" s="80">
        <v>42256523835.400002</v>
      </c>
      <c r="E37" s="80">
        <v>33510318186.200001</v>
      </c>
      <c r="F37" s="80">
        <v>32439097033.199997</v>
      </c>
      <c r="G37" s="80"/>
      <c r="H37" s="25" t="s">
        <v>65</v>
      </c>
      <c r="I37" s="28">
        <v>41977144</v>
      </c>
      <c r="J37" s="28">
        <v>40118921</v>
      </c>
      <c r="K37" s="28">
        <v>29540550</v>
      </c>
      <c r="L37" s="28">
        <v>24231551</v>
      </c>
      <c r="M37" s="28">
        <v>22311366</v>
      </c>
    </row>
    <row r="38" spans="1:13" ht="15.75" hidden="1" customHeight="1">
      <c r="A38" s="85" t="s">
        <v>111</v>
      </c>
      <c r="B38" s="85">
        <v>22.02</v>
      </c>
      <c r="C38" s="90">
        <v>23.39</v>
      </c>
      <c r="D38" s="90">
        <v>18.54</v>
      </c>
      <c r="E38" s="90">
        <v>23.92</v>
      </c>
      <c r="F38" s="90">
        <v>19.309999999999999</v>
      </c>
      <c r="G38" s="80"/>
      <c r="H38" s="25" t="s">
        <v>67</v>
      </c>
      <c r="I38" s="28">
        <v>21017376</v>
      </c>
      <c r="J38" s="28">
        <v>20217974</v>
      </c>
      <c r="K38" s="28">
        <v>18235061</v>
      </c>
      <c r="L38" s="28">
        <v>16240514</v>
      </c>
      <c r="M38" s="28">
        <v>14948796</v>
      </c>
    </row>
    <row r="39" spans="1:13" ht="15.75" hidden="1" customHeight="1">
      <c r="A39" s="85" t="s">
        <v>112</v>
      </c>
      <c r="B39" s="86">
        <v>1260260180</v>
      </c>
      <c r="C39" s="87">
        <v>1260260180</v>
      </c>
      <c r="D39" s="87">
        <v>1260260180</v>
      </c>
      <c r="E39" s="87">
        <v>1260260180</v>
      </c>
      <c r="F39" s="87">
        <v>1260260180</v>
      </c>
      <c r="G39" s="80"/>
      <c r="H39" s="25" t="s">
        <v>224</v>
      </c>
      <c r="I39" s="28">
        <v>7478</v>
      </c>
      <c r="J39" s="28">
        <v>7658</v>
      </c>
      <c r="K39" s="28">
        <v>7534</v>
      </c>
      <c r="L39" s="28">
        <v>7538</v>
      </c>
      <c r="M39" s="28">
        <v>7848</v>
      </c>
    </row>
    <row r="40" spans="1:13" ht="15.75" hidden="1" customHeight="1">
      <c r="A40" s="76" t="s">
        <v>225</v>
      </c>
      <c r="B40" s="67">
        <v>27750929163.599998</v>
      </c>
      <c r="C40" s="80">
        <v>29477485610.200001</v>
      </c>
      <c r="D40" s="80">
        <v>23365223737.200001</v>
      </c>
      <c r="E40" s="80">
        <v>30145423505.600002</v>
      </c>
      <c r="F40" s="80">
        <v>24335624075.799999</v>
      </c>
      <c r="G40" s="80"/>
      <c r="H40" s="25" t="s">
        <v>216</v>
      </c>
      <c r="I40" s="28">
        <v>9715733</v>
      </c>
      <c r="J40" s="28">
        <v>10856997</v>
      </c>
      <c r="K40" s="28">
        <v>7017901</v>
      </c>
      <c r="L40" s="28">
        <v>4431278</v>
      </c>
      <c r="M40" s="28">
        <v>5121686</v>
      </c>
    </row>
    <row r="41" spans="1:13" ht="15.75" customHeight="1">
      <c r="A41" s="67"/>
      <c r="B41" s="67"/>
      <c r="C41" s="80"/>
      <c r="D41" s="80"/>
      <c r="E41" s="80"/>
      <c r="F41" s="80"/>
      <c r="G41" s="80"/>
    </row>
    <row r="42" spans="1:13" ht="15.75" customHeight="1">
      <c r="A42" s="131" t="s">
        <v>149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</row>
    <row r="43" spans="1:13" ht="15.75" customHeight="1">
      <c r="A43" s="91"/>
      <c r="B43" s="67"/>
      <c r="C43" s="91">
        <v>2021</v>
      </c>
      <c r="D43" s="91">
        <v>2020</v>
      </c>
      <c r="E43" s="91">
        <v>2019</v>
      </c>
      <c r="F43" s="91">
        <v>2018</v>
      </c>
      <c r="G43" s="91">
        <v>2017</v>
      </c>
      <c r="H43" s="26"/>
      <c r="I43" s="26"/>
      <c r="J43" s="26"/>
      <c r="K43" s="26"/>
      <c r="L43" s="26"/>
    </row>
    <row r="44" spans="1:13" ht="15.75" customHeight="1">
      <c r="A44" s="92" t="s">
        <v>226</v>
      </c>
      <c r="B44" s="67"/>
      <c r="C44" s="93">
        <v>1.3176955341044831</v>
      </c>
      <c r="D44" s="93">
        <v>1.0580940899831748</v>
      </c>
      <c r="E44" s="93">
        <v>1.0312515352074776</v>
      </c>
      <c r="F44" s="93">
        <v>1.0721448468924104</v>
      </c>
      <c r="G44" s="93">
        <v>1.0173813192532266</v>
      </c>
      <c r="H44" s="26"/>
      <c r="I44" s="26"/>
      <c r="J44" s="26"/>
      <c r="K44" s="26"/>
      <c r="L44" s="26"/>
    </row>
    <row r="45" spans="1:13" ht="15.75" customHeight="1">
      <c r="A45" s="92" t="s">
        <v>118</v>
      </c>
      <c r="B45" s="67"/>
      <c r="C45" s="94">
        <v>0.60150352363038317</v>
      </c>
      <c r="D45" s="94">
        <v>0.95457933838650033</v>
      </c>
      <c r="E45" s="94">
        <v>0.57388256878498511</v>
      </c>
      <c r="F45" s="94">
        <v>0.54748613552497316</v>
      </c>
      <c r="G45" s="94">
        <v>0.54793223807334746</v>
      </c>
      <c r="H45" s="26"/>
      <c r="I45" s="26"/>
      <c r="J45" s="26"/>
      <c r="K45" s="26"/>
      <c r="L45" s="26"/>
    </row>
    <row r="46" spans="1:13" ht="15.75" customHeight="1">
      <c r="A46" s="95"/>
      <c r="B46" s="96"/>
      <c r="C46" s="96"/>
      <c r="D46" s="96"/>
      <c r="E46" s="96"/>
      <c r="F46" s="96"/>
      <c r="G46" s="67"/>
      <c r="H46" s="26"/>
      <c r="I46" s="26"/>
      <c r="J46" s="26"/>
      <c r="K46" s="26"/>
      <c r="L46" s="26"/>
    </row>
    <row r="47" spans="1:13" ht="15.75" customHeight="1">
      <c r="A47" s="129" t="s">
        <v>153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</row>
    <row r="48" spans="1:13" ht="15.75" customHeight="1">
      <c r="A48" s="97"/>
      <c r="B48" s="67"/>
      <c r="C48" s="77">
        <v>2021</v>
      </c>
      <c r="D48" s="77">
        <v>2020</v>
      </c>
      <c r="E48" s="77">
        <v>2019</v>
      </c>
      <c r="F48" s="77">
        <v>2018</v>
      </c>
      <c r="G48" s="77">
        <v>2017</v>
      </c>
      <c r="H48" s="26"/>
      <c r="I48" s="26"/>
      <c r="J48" s="26"/>
      <c r="K48" s="26"/>
      <c r="L48" s="26"/>
    </row>
    <row r="49" spans="1:13" ht="15.75" customHeight="1">
      <c r="A49" s="97" t="s">
        <v>122</v>
      </c>
      <c r="B49" s="67"/>
      <c r="C49" s="81">
        <v>2.8597402597402595</v>
      </c>
      <c r="D49" s="81">
        <v>2.7292882147024504</v>
      </c>
      <c r="E49" s="81">
        <v>3.328545780969479</v>
      </c>
      <c r="F49" s="81">
        <v>6.7954545454545459</v>
      </c>
      <c r="G49" s="81">
        <v>4.6196172248803826</v>
      </c>
      <c r="H49" s="26"/>
      <c r="I49" s="26"/>
      <c r="J49" s="26"/>
      <c r="K49" s="26"/>
      <c r="L49" s="26"/>
    </row>
    <row r="50" spans="1:13" ht="15.75" customHeight="1">
      <c r="A50" s="97" t="s">
        <v>155</v>
      </c>
      <c r="B50" s="67"/>
      <c r="C50" s="79">
        <v>4.4500587499556606E-2</v>
      </c>
      <c r="D50" s="79">
        <v>5.5073028118765313E-2</v>
      </c>
      <c r="E50" s="79">
        <v>5.087592268019539E-2</v>
      </c>
      <c r="F50" s="79">
        <v>4.7547720201240901E-2</v>
      </c>
      <c r="G50" s="79">
        <v>4.90923817406059E-2</v>
      </c>
      <c r="H50" s="26"/>
      <c r="I50" s="26"/>
      <c r="J50" s="26"/>
      <c r="K50" s="26"/>
      <c r="L50" s="26"/>
    </row>
    <row r="51" spans="1:13" ht="15.75" customHeight="1">
      <c r="A51" s="97" t="s">
        <v>170</v>
      </c>
      <c r="B51" s="67"/>
      <c r="C51" s="79">
        <v>4.2309145195675295E-2</v>
      </c>
      <c r="D51" s="79">
        <v>3.2021376607189934E-2</v>
      </c>
      <c r="E51" s="79">
        <v>2.7709120042520526E-2</v>
      </c>
      <c r="F51" s="79">
        <v>3.0857715301059702E-2</v>
      </c>
      <c r="G51" s="79">
        <v>7.7977544773405766E-2</v>
      </c>
      <c r="H51" s="26"/>
      <c r="I51" s="26"/>
      <c r="J51" s="26"/>
      <c r="K51" s="26"/>
      <c r="L51" s="26"/>
    </row>
    <row r="52" spans="1:13" ht="15.75" customHeight="1">
      <c r="A52" s="97" t="s">
        <v>171</v>
      </c>
      <c r="B52" s="67"/>
      <c r="C52" s="79">
        <v>9.0941298568388548E-2</v>
      </c>
      <c r="D52" s="79">
        <v>0.12161881039884286</v>
      </c>
      <c r="E52" s="79">
        <v>0.13882526600948358</v>
      </c>
      <c r="F52" s="79">
        <v>0.12911595978429982</v>
      </c>
      <c r="G52" s="79">
        <v>0.10333239788213713</v>
      </c>
      <c r="H52" s="26"/>
      <c r="I52" s="26"/>
      <c r="J52" s="26"/>
      <c r="K52" s="26"/>
      <c r="L52" s="26"/>
    </row>
    <row r="53" spans="1:13" ht="18.75" customHeight="1">
      <c r="A53" s="97" t="s">
        <v>227</v>
      </c>
      <c r="B53" s="67"/>
      <c r="C53" s="79">
        <v>0.1338</v>
      </c>
      <c r="D53" s="79">
        <v>0.15479999999999999</v>
      </c>
      <c r="E53" s="79">
        <v>0.1338</v>
      </c>
      <c r="F53" s="79">
        <v>0.12509999999999999</v>
      </c>
      <c r="G53" s="79">
        <v>0.12089999999999999</v>
      </c>
      <c r="H53" s="26"/>
      <c r="I53" s="26"/>
      <c r="J53" s="26"/>
      <c r="K53" s="26"/>
      <c r="L53" s="26"/>
    </row>
    <row r="54" spans="1:13" ht="18.75" customHeight="1">
      <c r="A54" s="95"/>
      <c r="B54" s="67"/>
      <c r="C54" s="67"/>
      <c r="D54" s="67"/>
      <c r="E54" s="67"/>
      <c r="F54" s="67"/>
      <c r="G54" s="67"/>
      <c r="H54" s="26"/>
      <c r="I54" s="26"/>
      <c r="J54" s="26"/>
      <c r="K54" s="26"/>
      <c r="L54" s="26"/>
    </row>
    <row r="55" spans="1:13" ht="15.75" customHeight="1">
      <c r="A55" s="129" t="s">
        <v>228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</row>
    <row r="56" spans="1:13" ht="15.75" customHeight="1">
      <c r="A56" s="92"/>
      <c r="B56" s="67"/>
      <c r="C56" s="91">
        <v>2021</v>
      </c>
      <c r="D56" s="91">
        <v>2020</v>
      </c>
      <c r="E56" s="91">
        <v>2019</v>
      </c>
      <c r="F56" s="91">
        <v>2018</v>
      </c>
      <c r="G56" s="91">
        <v>2017</v>
      </c>
      <c r="H56" s="26"/>
      <c r="I56" s="26"/>
      <c r="J56" s="26"/>
      <c r="K56" s="26"/>
      <c r="L56" s="26"/>
    </row>
    <row r="57" spans="1:13" ht="15.75" customHeight="1">
      <c r="A57" s="98" t="s">
        <v>229</v>
      </c>
      <c r="B57" s="67"/>
      <c r="C57" s="94">
        <v>0.50068618293802936</v>
      </c>
      <c r="D57" s="94">
        <v>0.50395109080824985</v>
      </c>
      <c r="E57" s="94">
        <v>0.61728914999889983</v>
      </c>
      <c r="F57" s="94">
        <v>0.67022181122454771</v>
      </c>
      <c r="G57" s="94">
        <v>0.67000810259667654</v>
      </c>
      <c r="H57" s="26"/>
      <c r="I57" s="26"/>
      <c r="J57" s="26"/>
      <c r="K57" s="26"/>
      <c r="L57" s="26"/>
    </row>
    <row r="58" spans="1:13" ht="15.75" customHeight="1">
      <c r="A58" s="92" t="s">
        <v>230</v>
      </c>
      <c r="B58" s="67"/>
      <c r="C58" s="93">
        <v>1299.2421770526878</v>
      </c>
      <c r="D58" s="93">
        <v>1417.7326978323322</v>
      </c>
      <c r="E58" s="93">
        <v>931.49734536766653</v>
      </c>
      <c r="F58" s="93">
        <v>587.85858317856196</v>
      </c>
      <c r="G58" s="93">
        <v>652.61034658511721</v>
      </c>
      <c r="H58" s="26"/>
      <c r="I58" s="26"/>
      <c r="J58" s="26"/>
      <c r="K58" s="26"/>
      <c r="L58" s="26"/>
    </row>
    <row r="59" spans="1:13" ht="15.75" customHeight="1">
      <c r="A59" s="95"/>
      <c r="B59" s="67"/>
      <c r="C59" s="67"/>
      <c r="D59" s="67"/>
      <c r="E59" s="67"/>
      <c r="F59" s="67"/>
      <c r="G59" s="67"/>
    </row>
    <row r="60" spans="1:13" ht="15.75" hidden="1" customHeight="1">
      <c r="B60" s="26">
        <v>2021</v>
      </c>
      <c r="C60" s="1">
        <v>2020</v>
      </c>
      <c r="D60" s="1">
        <v>2019</v>
      </c>
      <c r="E60" s="1">
        <v>2018</v>
      </c>
      <c r="F60" s="1">
        <v>2017</v>
      </c>
    </row>
    <row r="61" spans="1:13" ht="15.75" hidden="1" customHeight="1">
      <c r="A61" s="1" t="s">
        <v>231</v>
      </c>
      <c r="B61" s="28">
        <v>1159136134</v>
      </c>
      <c r="C61" s="28">
        <v>878172022</v>
      </c>
      <c r="D61" s="28">
        <v>779684067</v>
      </c>
      <c r="E61" s="28">
        <v>694552075</v>
      </c>
      <c r="F61" s="28">
        <v>622775656</v>
      </c>
    </row>
    <row r="62" spans="1:13" ht="15.75" hidden="1" customHeight="1">
      <c r="A62" s="26" t="s">
        <v>232</v>
      </c>
      <c r="B62" s="28">
        <v>1259328610</v>
      </c>
      <c r="C62" s="28">
        <v>992886661</v>
      </c>
      <c r="D62" s="28">
        <v>833443027</v>
      </c>
      <c r="E62" s="28">
        <v>706666079</v>
      </c>
      <c r="F62" s="28">
        <v>662938624</v>
      </c>
    </row>
    <row r="63" spans="1:13" ht="17.25" customHeight="1">
      <c r="A63" s="99" t="s">
        <v>233</v>
      </c>
      <c r="B63" s="26"/>
      <c r="H63" s="79"/>
    </row>
    <row r="64" spans="1:13" ht="15.75" customHeight="1">
      <c r="A64" s="100" t="s">
        <v>99</v>
      </c>
      <c r="B64" s="101">
        <v>6.5244059355732256E-2</v>
      </c>
      <c r="C64" s="101">
        <v>7.2673829594501416E-2</v>
      </c>
      <c r="D64" s="101">
        <v>7.5438513527685089E-2</v>
      </c>
      <c r="E64" s="101">
        <v>7.7693181949369305E-2</v>
      </c>
      <c r="F64" s="101">
        <v>0.10341608820577447</v>
      </c>
    </row>
    <row r="65" spans="1:6" ht="15.75" customHeight="1">
      <c r="A65" s="100" t="s">
        <v>118</v>
      </c>
      <c r="B65" s="101">
        <v>0.60150352363038317</v>
      </c>
      <c r="C65" s="101">
        <v>0.95457933838650033</v>
      </c>
      <c r="D65" s="101">
        <v>0.57388256878498511</v>
      </c>
      <c r="E65" s="101">
        <v>0.54748613552497316</v>
      </c>
      <c r="F65" s="101">
        <v>0.54793223807334746</v>
      </c>
    </row>
    <row r="66" spans="1:6" ht="15.75" customHeight="1">
      <c r="A66" s="100" t="s">
        <v>230</v>
      </c>
      <c r="B66" s="100">
        <v>1299.2421770526878</v>
      </c>
      <c r="C66" s="100">
        <v>1417.7326978323322</v>
      </c>
      <c r="D66" s="100">
        <v>931.49734536766653</v>
      </c>
      <c r="E66" s="100">
        <v>587.85858317856196</v>
      </c>
      <c r="F66" s="100">
        <v>652.61034658511721</v>
      </c>
    </row>
    <row r="67" spans="1:6" ht="15.75" customHeight="1">
      <c r="B67" s="26"/>
    </row>
    <row r="68" spans="1:6" ht="15.75" customHeight="1">
      <c r="B68" s="26"/>
    </row>
    <row r="69" spans="1:6" ht="15.75" customHeight="1">
      <c r="B69" s="26"/>
    </row>
    <row r="70" spans="1:6" ht="15.75" customHeight="1">
      <c r="B70" s="26"/>
    </row>
    <row r="71" spans="1:6" ht="15.75" customHeight="1">
      <c r="B71" s="26"/>
    </row>
    <row r="72" spans="1:6" ht="15.75" customHeight="1">
      <c r="B72" s="26"/>
    </row>
    <row r="73" spans="1:6" ht="15.75" customHeight="1">
      <c r="B73" s="26"/>
    </row>
    <row r="74" spans="1:6" ht="15.75" customHeight="1">
      <c r="B74" s="26"/>
    </row>
    <row r="75" spans="1:6" ht="15.75" customHeight="1">
      <c r="B75" s="26"/>
    </row>
    <row r="76" spans="1:6" ht="15.75" customHeight="1">
      <c r="B76" s="26"/>
    </row>
    <row r="77" spans="1:6" ht="15.75" customHeight="1">
      <c r="B77" s="26"/>
    </row>
    <row r="78" spans="1:6" ht="15.75" customHeight="1">
      <c r="B78" s="26"/>
    </row>
    <row r="79" spans="1:6" ht="15.75" customHeight="1">
      <c r="B79" s="26"/>
    </row>
    <row r="80" spans="1:6" ht="15.75" customHeight="1">
      <c r="B80" s="26"/>
    </row>
    <row r="81" spans="2:13" ht="15.75" customHeight="1">
      <c r="B81" s="26"/>
    </row>
    <row r="82" spans="2:13" ht="15.75" customHeight="1">
      <c r="B82" s="26"/>
      <c r="M82" s="79"/>
    </row>
    <row r="83" spans="2:13" ht="15.75" customHeight="1">
      <c r="B83" s="26"/>
    </row>
    <row r="84" spans="2:13" ht="15.75" customHeight="1">
      <c r="B84" s="26"/>
    </row>
    <row r="85" spans="2:13" ht="15.75" customHeight="1">
      <c r="B85" s="26"/>
    </row>
    <row r="86" spans="2:13" ht="15.75" customHeight="1">
      <c r="B86" s="26"/>
    </row>
    <row r="87" spans="2:13" ht="15.75" customHeight="1">
      <c r="B87" s="26"/>
    </row>
    <row r="88" spans="2:13" ht="15.75" customHeight="1">
      <c r="B88" s="26"/>
    </row>
    <row r="89" spans="2:13" ht="15.75" customHeight="1">
      <c r="B89" s="26"/>
    </row>
    <row r="90" spans="2:13" ht="15.75" customHeight="1">
      <c r="B90" s="26"/>
    </row>
    <row r="91" spans="2:13" ht="15.75" customHeight="1">
      <c r="B91" s="26"/>
    </row>
    <row r="92" spans="2:13" ht="15.75" customHeight="1">
      <c r="B92" s="26"/>
    </row>
    <row r="93" spans="2:13" ht="15.75" customHeight="1">
      <c r="B93" s="26"/>
    </row>
    <row r="94" spans="2:13" ht="15.75" customHeight="1">
      <c r="B94" s="26"/>
    </row>
    <row r="95" spans="2:13" ht="15.75" customHeight="1">
      <c r="B95" s="26"/>
    </row>
    <row r="96" spans="2:13" ht="15.75" customHeight="1">
      <c r="B96" s="26"/>
    </row>
    <row r="97" spans="2:2" ht="15.75" customHeight="1">
      <c r="B97" s="26"/>
    </row>
    <row r="98" spans="2:2" ht="15.75" customHeight="1">
      <c r="B98" s="26"/>
    </row>
    <row r="99" spans="2:2" ht="15.75" customHeight="1">
      <c r="B99" s="26"/>
    </row>
    <row r="100" spans="2:2" ht="15.75" customHeight="1">
      <c r="B100" s="26"/>
    </row>
    <row r="101" spans="2:2" ht="15.75" customHeight="1">
      <c r="B101" s="26"/>
    </row>
  </sheetData>
  <mergeCells count="6">
    <mergeCell ref="A55:M55"/>
    <mergeCell ref="A42:M42"/>
    <mergeCell ref="A47:M47"/>
    <mergeCell ref="A18:M18"/>
    <mergeCell ref="A1:M1"/>
    <mergeCell ref="A11:M11"/>
  </mergeCells>
  <pageMargins left="0.7" right="0.7" top="0.75" bottom="0.75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00"/>
  <sheetViews>
    <sheetView workbookViewId="0"/>
  </sheetViews>
  <sheetFormatPr defaultColWidth="14" defaultRowHeight="15" customHeight="1"/>
  <cols>
    <col min="1" max="1" width="41.625" style="1" customWidth="1"/>
    <col min="2" max="2" width="26.875" style="1" customWidth="1"/>
    <col min="3" max="6" width="14.375" style="1" customWidth="1"/>
    <col min="8" max="8" width="21.75" style="1" customWidth="1"/>
    <col min="9" max="9" width="17.125" style="1" customWidth="1"/>
    <col min="10" max="10" width="28.75" style="1" customWidth="1"/>
    <col min="11" max="12" width="17.125" style="1" customWidth="1"/>
    <col min="13" max="13" width="7" style="1" customWidth="1"/>
    <col min="14" max="15" width="9" style="1" hidden="1" customWidth="1"/>
    <col min="16" max="17" width="7" style="1" hidden="1" customWidth="1"/>
    <col min="18" max="18" width="20.375" style="1" hidden="1" customWidth="1"/>
    <col min="19" max="19" width="14.875" style="1" customWidth="1"/>
    <col min="20" max="23" width="13" style="1" customWidth="1"/>
    <col min="24" max="24" width="28.75" style="1" hidden="1" customWidth="1"/>
    <col min="25" max="25" width="13.375" style="1" hidden="1" customWidth="1"/>
    <col min="26" max="27" width="13" style="1" hidden="1" customWidth="1"/>
    <col min="28" max="28" width="12.625" style="1" hidden="1" customWidth="1"/>
    <col min="29" max="29" width="13.375" style="1" hidden="1" customWidth="1"/>
    <col min="31" max="31" width="26" style="1" customWidth="1"/>
    <col min="32" max="36" width="13" style="1" customWidth="1"/>
    <col min="39" max="44" width="14.375" style="1" hidden="1"/>
  </cols>
  <sheetData>
    <row r="1" spans="1:44" ht="18.75">
      <c r="A1" s="102" t="s">
        <v>234</v>
      </c>
      <c r="B1" s="103">
        <v>2021</v>
      </c>
      <c r="C1" s="103">
        <v>2020</v>
      </c>
      <c r="D1" s="103">
        <v>2019</v>
      </c>
      <c r="E1" s="103">
        <v>2018</v>
      </c>
      <c r="F1" s="103">
        <v>2017</v>
      </c>
      <c r="H1" s="104" t="s">
        <v>235</v>
      </c>
      <c r="I1" s="103">
        <v>2021</v>
      </c>
      <c r="J1" s="103">
        <v>2020</v>
      </c>
      <c r="K1" s="103">
        <v>2019</v>
      </c>
      <c r="L1" s="103">
        <v>2018</v>
      </c>
      <c r="M1" s="103">
        <v>2017</v>
      </c>
      <c r="N1" s="103">
        <v>2017</v>
      </c>
      <c r="O1" s="103">
        <v>2018</v>
      </c>
      <c r="P1" s="103">
        <v>2019</v>
      </c>
      <c r="Q1" s="103">
        <v>2020</v>
      </c>
      <c r="R1" s="103">
        <v>2021</v>
      </c>
    </row>
    <row r="2" spans="1:44" ht="18.75">
      <c r="A2" s="105"/>
      <c r="B2" s="106">
        <v>0.1338</v>
      </c>
      <c r="C2" s="106">
        <v>0.15479999999999999</v>
      </c>
      <c r="D2" s="106">
        <v>0.1338</v>
      </c>
      <c r="E2" s="106">
        <v>0.12509999999999999</v>
      </c>
      <c r="F2" s="106">
        <v>0.12089999999999999</v>
      </c>
      <c r="H2" s="104" t="s">
        <v>227</v>
      </c>
      <c r="I2" s="107">
        <v>0.2</v>
      </c>
      <c r="J2" s="107">
        <v>0.2</v>
      </c>
      <c r="K2" s="107">
        <v>0.2</v>
      </c>
      <c r="L2" s="107">
        <v>0.2</v>
      </c>
      <c r="M2" s="107">
        <v>0.2</v>
      </c>
      <c r="N2" s="108">
        <v>0.2</v>
      </c>
      <c r="O2" s="108">
        <v>0.2</v>
      </c>
      <c r="P2" s="108">
        <v>0.2</v>
      </c>
      <c r="Q2" s="108">
        <v>0.2</v>
      </c>
      <c r="R2" s="108">
        <v>0.2</v>
      </c>
    </row>
    <row r="3" spans="1:44" ht="18.75">
      <c r="A3" s="104" t="s">
        <v>236</v>
      </c>
      <c r="B3" s="109">
        <v>1</v>
      </c>
      <c r="C3" s="109">
        <v>1</v>
      </c>
      <c r="D3" s="109">
        <v>1</v>
      </c>
      <c r="E3" s="109">
        <v>1</v>
      </c>
      <c r="F3" s="109">
        <v>1</v>
      </c>
      <c r="H3" s="104" t="s">
        <v>237</v>
      </c>
      <c r="I3" s="107">
        <v>0.2</v>
      </c>
      <c r="J3" s="107">
        <v>0.2</v>
      </c>
      <c r="K3" s="107">
        <v>0.2</v>
      </c>
      <c r="L3" s="107">
        <v>0.2</v>
      </c>
      <c r="M3" s="107">
        <v>0.2</v>
      </c>
      <c r="N3" s="108">
        <v>0.2</v>
      </c>
      <c r="O3" s="108">
        <v>0.2</v>
      </c>
      <c r="P3" s="108">
        <v>0.2</v>
      </c>
      <c r="Q3" s="108">
        <v>0.2</v>
      </c>
      <c r="R3" s="108">
        <v>0.2</v>
      </c>
    </row>
    <row r="4" spans="1:44" ht="18.75">
      <c r="A4" s="104" t="s">
        <v>238</v>
      </c>
      <c r="B4" s="106">
        <v>0.2</v>
      </c>
      <c r="C4" s="106">
        <v>0.2</v>
      </c>
      <c r="D4" s="106">
        <v>0.2</v>
      </c>
      <c r="E4" s="106">
        <v>0.2</v>
      </c>
      <c r="F4" s="106">
        <v>0.2</v>
      </c>
      <c r="G4" s="26"/>
      <c r="H4" s="104" t="s">
        <v>239</v>
      </c>
      <c r="I4" s="107">
        <v>1.25</v>
      </c>
      <c r="J4" s="107">
        <v>1.25</v>
      </c>
      <c r="K4" s="107">
        <v>1.25</v>
      </c>
      <c r="L4" s="107">
        <v>1.25</v>
      </c>
      <c r="M4" s="107">
        <v>1.25</v>
      </c>
      <c r="N4" s="108">
        <v>1.25</v>
      </c>
      <c r="O4" s="108">
        <v>1.25</v>
      </c>
      <c r="P4" s="108">
        <v>1.25</v>
      </c>
      <c r="Q4" s="108">
        <v>1.25</v>
      </c>
      <c r="R4" s="108">
        <v>1.25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spans="1:44" ht="18.75">
      <c r="A5" s="104" t="s">
        <v>240</v>
      </c>
      <c r="B5" s="110">
        <v>0.2</v>
      </c>
      <c r="C5" s="110">
        <v>0.2</v>
      </c>
      <c r="D5" s="110">
        <v>0.2</v>
      </c>
      <c r="E5" s="110">
        <v>0.2</v>
      </c>
      <c r="F5" s="110">
        <v>0.2</v>
      </c>
      <c r="H5" s="104" t="s">
        <v>241</v>
      </c>
      <c r="I5" s="107">
        <v>0.25771501014338111</v>
      </c>
      <c r="J5" s="107">
        <v>0.26093477979557628</v>
      </c>
      <c r="K5" s="107">
        <v>0.25842037280611863</v>
      </c>
      <c r="L5" s="107">
        <v>0.25627068162981687</v>
      </c>
      <c r="M5" s="107">
        <v>0.25772573178659747</v>
      </c>
      <c r="N5" s="108">
        <v>1.05</v>
      </c>
      <c r="O5" s="108">
        <v>1.2</v>
      </c>
      <c r="P5" s="108">
        <v>1.05</v>
      </c>
      <c r="Q5" s="108">
        <v>0.75</v>
      </c>
      <c r="R5" s="108">
        <v>0.89999999999999991</v>
      </c>
    </row>
    <row r="6" spans="1:44" ht="18.75">
      <c r="A6" s="111"/>
      <c r="B6" s="111"/>
      <c r="C6" s="111"/>
      <c r="D6" s="111"/>
      <c r="E6" s="111"/>
      <c r="F6" s="111"/>
      <c r="H6" s="104" t="s">
        <v>242</v>
      </c>
      <c r="I6" s="107">
        <v>0.62033079582049</v>
      </c>
      <c r="J6" s="107">
        <v>0.64972256874796996</v>
      </c>
      <c r="K6" s="107">
        <v>0.69896886349015708</v>
      </c>
      <c r="L6" s="107">
        <v>0.748126686609627</v>
      </c>
      <c r="M6" s="107">
        <v>0.641991373276938</v>
      </c>
      <c r="N6" s="108">
        <v>0.1</v>
      </c>
      <c r="O6" s="108">
        <v>0.1</v>
      </c>
      <c r="P6" s="108">
        <v>0.1</v>
      </c>
      <c r="Q6" s="108">
        <v>0.1</v>
      </c>
      <c r="R6" s="108">
        <v>0.1</v>
      </c>
    </row>
    <row r="7" spans="1:44" ht="18.75">
      <c r="A7" s="102" t="s">
        <v>243</v>
      </c>
      <c r="B7" s="103">
        <v>2021</v>
      </c>
      <c r="C7" s="103">
        <v>2020</v>
      </c>
      <c r="D7" s="103">
        <v>2019</v>
      </c>
      <c r="E7" s="103">
        <v>2018</v>
      </c>
      <c r="F7" s="103">
        <v>2017</v>
      </c>
      <c r="H7" s="104" t="s">
        <v>244</v>
      </c>
      <c r="I7" s="107">
        <v>0.5</v>
      </c>
      <c r="J7" s="107">
        <v>0.5</v>
      </c>
      <c r="K7" s="107">
        <v>0.5</v>
      </c>
      <c r="L7" s="107">
        <v>0.5</v>
      </c>
      <c r="M7" s="107">
        <v>0.5</v>
      </c>
      <c r="N7" s="108">
        <v>0.5</v>
      </c>
      <c r="O7" s="108">
        <v>0.5</v>
      </c>
      <c r="P7" s="108">
        <v>0.5</v>
      </c>
      <c r="Q7" s="108">
        <v>0.5</v>
      </c>
      <c r="R7" s="108">
        <v>0.5</v>
      </c>
    </row>
    <row r="8" spans="1:44" ht="18.75">
      <c r="A8" s="105"/>
      <c r="B8" s="106">
        <v>5.5401851855054101E-3</v>
      </c>
      <c r="C8" s="106">
        <v>9.8486668681169263E-3</v>
      </c>
      <c r="D8" s="106">
        <v>9.9913609272283873E-3</v>
      </c>
      <c r="E8" s="106">
        <v>4.4998100841076331E-3</v>
      </c>
      <c r="F8" s="106">
        <v>6.92309959919068E-3</v>
      </c>
      <c r="H8" s="104" t="s">
        <v>245</v>
      </c>
      <c r="I8" s="107">
        <v>3.0280458059638713</v>
      </c>
      <c r="J8" s="107">
        <v>3.060657348543546</v>
      </c>
      <c r="K8" s="107">
        <v>3.1073892362962754</v>
      </c>
      <c r="L8" s="107">
        <v>3.1543973682394437</v>
      </c>
      <c r="M8" s="107">
        <v>3.0497171050635354</v>
      </c>
      <c r="N8" s="27">
        <v>3.3000000000000003</v>
      </c>
      <c r="O8" s="27">
        <v>3.4499999999999997</v>
      </c>
      <c r="P8" s="27">
        <v>3.3000000000000003</v>
      </c>
      <c r="Q8" s="27">
        <v>3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</row>
    <row r="9" spans="1:44" ht="18.75">
      <c r="A9" s="104" t="s">
        <v>236</v>
      </c>
      <c r="B9" s="109">
        <v>1</v>
      </c>
      <c r="C9" s="109">
        <v>1</v>
      </c>
      <c r="D9" s="109">
        <v>1</v>
      </c>
      <c r="E9" s="109">
        <v>1</v>
      </c>
      <c r="F9" s="109">
        <v>1</v>
      </c>
      <c r="X9" s="27">
        <v>3.15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</row>
    <row r="10" spans="1:44" ht="18.75">
      <c r="A10" s="104" t="s">
        <v>238</v>
      </c>
      <c r="B10" s="106">
        <v>0.2</v>
      </c>
      <c r="C10" s="106">
        <v>0.2</v>
      </c>
      <c r="D10" s="106">
        <v>0.2</v>
      </c>
      <c r="E10" s="106">
        <v>0.2</v>
      </c>
      <c r="F10" s="106">
        <v>0.2</v>
      </c>
      <c r="H10" s="112" t="s">
        <v>246</v>
      </c>
      <c r="I10" s="113">
        <v>3.0800413728213343</v>
      </c>
    </row>
    <row r="11" spans="1:44" ht="18.75">
      <c r="A11" s="104" t="s">
        <v>240</v>
      </c>
      <c r="B11" s="110">
        <v>0.2</v>
      </c>
      <c r="C11" s="110">
        <v>0.2</v>
      </c>
      <c r="D11" s="110">
        <v>0.2</v>
      </c>
      <c r="E11" s="110">
        <v>0.2</v>
      </c>
      <c r="F11" s="110">
        <v>0.2</v>
      </c>
    </row>
    <row r="12" spans="1:44">
      <c r="A12" s="114"/>
      <c r="B12" s="115"/>
      <c r="C12" s="115"/>
      <c r="D12" s="115"/>
      <c r="E12" s="115"/>
      <c r="F12" s="115"/>
      <c r="Y12" s="105">
        <v>2021</v>
      </c>
      <c r="Z12" s="105">
        <v>2020</v>
      </c>
      <c r="AA12" s="105">
        <v>2019</v>
      </c>
      <c r="AB12" s="105">
        <v>2018</v>
      </c>
      <c r="AC12" s="105">
        <v>2017</v>
      </c>
    </row>
    <row r="13" spans="1:44" ht="18.75">
      <c r="A13" s="102" t="s">
        <v>247</v>
      </c>
      <c r="B13" s="103">
        <v>2021</v>
      </c>
      <c r="C13" s="103">
        <v>2020</v>
      </c>
      <c r="D13" s="103">
        <v>2019</v>
      </c>
      <c r="E13" s="103">
        <v>2018</v>
      </c>
      <c r="F13" s="103">
        <v>2017</v>
      </c>
      <c r="X13" s="25" t="s">
        <v>248</v>
      </c>
      <c r="Y13" s="28">
        <v>21017376</v>
      </c>
      <c r="Z13" s="28">
        <v>20217974</v>
      </c>
      <c r="AA13" s="28">
        <v>18235061</v>
      </c>
      <c r="AB13" s="28">
        <v>16240514</v>
      </c>
      <c r="AC13" s="28">
        <v>14948796</v>
      </c>
    </row>
    <row r="14" spans="1:44" ht="18.75">
      <c r="A14" s="105"/>
      <c r="B14" s="106">
        <v>2.1632311221397296</v>
      </c>
      <c r="C14" s="106">
        <v>1.8622068330681127</v>
      </c>
      <c r="D14" s="106">
        <v>2.5983639552624069</v>
      </c>
      <c r="E14" s="106">
        <v>3.6649729491131002</v>
      </c>
      <c r="F14" s="106">
        <v>2.9187255915337253</v>
      </c>
      <c r="X14" s="25" t="s">
        <v>249</v>
      </c>
      <c r="Y14" s="28">
        <v>9715733</v>
      </c>
      <c r="Z14" s="28">
        <v>10856997</v>
      </c>
      <c r="AA14" s="28">
        <v>7017901</v>
      </c>
      <c r="AB14" s="28">
        <v>4431278</v>
      </c>
      <c r="AC14" s="28">
        <v>5121686</v>
      </c>
    </row>
    <row r="15" spans="1:44" ht="18.75">
      <c r="A15" s="104" t="s">
        <v>236</v>
      </c>
      <c r="B15" s="109">
        <v>5</v>
      </c>
      <c r="C15" s="109">
        <v>5</v>
      </c>
      <c r="D15" s="109">
        <v>5</v>
      </c>
      <c r="E15" s="109">
        <v>5</v>
      </c>
      <c r="F15" s="109">
        <v>5</v>
      </c>
      <c r="X15" s="26" t="s">
        <v>239</v>
      </c>
    </row>
    <row r="16" spans="1:44" ht="18.75">
      <c r="A16" s="104" t="s">
        <v>238</v>
      </c>
      <c r="B16" s="106">
        <v>0.25</v>
      </c>
      <c r="C16" s="106">
        <v>0.25</v>
      </c>
      <c r="D16" s="106">
        <v>0.25</v>
      </c>
      <c r="E16" s="106">
        <v>0.25</v>
      </c>
      <c r="F16" s="106">
        <v>0.25</v>
      </c>
    </row>
    <row r="17" spans="1:44" ht="18.75">
      <c r="A17" s="104" t="s">
        <v>240</v>
      </c>
      <c r="B17" s="110">
        <v>1.25</v>
      </c>
      <c r="C17" s="110">
        <v>1.25</v>
      </c>
      <c r="D17" s="110">
        <v>1.25</v>
      </c>
      <c r="E17" s="110">
        <v>1.25</v>
      </c>
      <c r="F17" s="110">
        <v>1.25</v>
      </c>
      <c r="Y17" s="105">
        <v>2021</v>
      </c>
      <c r="Z17" s="105">
        <v>2020</v>
      </c>
      <c r="AA17" s="105">
        <v>2019</v>
      </c>
      <c r="AB17" s="105">
        <v>2018</v>
      </c>
      <c r="AC17" s="105">
        <v>2017</v>
      </c>
    </row>
    <row r="18" spans="1:44">
      <c r="A18" s="111"/>
      <c r="B18" s="111"/>
      <c r="C18" s="111"/>
      <c r="D18" s="111"/>
      <c r="E18" s="111"/>
      <c r="F18" s="111"/>
      <c r="Q18" s="26" t="s">
        <v>250</v>
      </c>
      <c r="X18" s="25" t="s">
        <v>24</v>
      </c>
      <c r="Y18" s="28">
        <v>616231172</v>
      </c>
      <c r="Z18" s="28">
        <v>449611987</v>
      </c>
      <c r="AA18" s="28">
        <v>305435633</v>
      </c>
      <c r="AB18" s="116">
        <v>260233987</v>
      </c>
      <c r="AC18" s="28">
        <v>314956748</v>
      </c>
    </row>
    <row r="19" spans="1:44" ht="18.75">
      <c r="A19" s="102" t="s">
        <v>251</v>
      </c>
      <c r="B19" s="103">
        <v>2021</v>
      </c>
      <c r="C19" s="103">
        <v>2020</v>
      </c>
      <c r="D19" s="103">
        <v>2019</v>
      </c>
      <c r="E19" s="103">
        <v>2018</v>
      </c>
      <c r="F19" s="103">
        <v>2017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5" t="s">
        <v>252</v>
      </c>
      <c r="Y19" s="26">
        <v>1510245</v>
      </c>
      <c r="Z19" s="26">
        <v>1436420</v>
      </c>
      <c r="AA19" s="26">
        <v>1272261</v>
      </c>
      <c r="AB19" s="26">
        <v>971446</v>
      </c>
      <c r="AC19" s="26">
        <v>1652135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spans="1:44" ht="18.75">
      <c r="A20" s="117" t="s">
        <v>253</v>
      </c>
      <c r="B20" s="106">
        <v>7.7150101433810826E-3</v>
      </c>
      <c r="C20" s="106">
        <v>1.0934779795576284E-2</v>
      </c>
      <c r="D20" s="106">
        <v>8.420372806118636E-3</v>
      </c>
      <c r="E20" s="106">
        <v>6.2706816298168455E-3</v>
      </c>
      <c r="F20" s="106">
        <v>7.7257317865974872E-3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5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spans="1:44" ht="15.75" customHeight="1">
      <c r="A21" s="104" t="s">
        <v>236</v>
      </c>
      <c r="B21" s="109">
        <v>4</v>
      </c>
      <c r="C21" s="109">
        <v>3</v>
      </c>
      <c r="D21" s="109">
        <v>4</v>
      </c>
      <c r="E21" s="109">
        <v>5</v>
      </c>
      <c r="F21" s="109">
        <v>4</v>
      </c>
      <c r="Q21" s="26" t="s">
        <v>250</v>
      </c>
      <c r="X21" s="25"/>
      <c r="Y21" s="26"/>
      <c r="Z21" s="26"/>
      <c r="AA21" s="26"/>
      <c r="AB21" s="26"/>
      <c r="AC21" s="26"/>
    </row>
    <row r="22" spans="1:44" ht="15.75" customHeight="1">
      <c r="A22" s="104" t="s">
        <v>238</v>
      </c>
      <c r="B22" s="106">
        <v>0.15</v>
      </c>
      <c r="C22" s="106">
        <v>0.15</v>
      </c>
      <c r="D22" s="106">
        <v>0.15</v>
      </c>
      <c r="E22" s="106">
        <v>0.15</v>
      </c>
      <c r="F22" s="106">
        <v>0.15</v>
      </c>
      <c r="X22" s="25" t="s">
        <v>254</v>
      </c>
      <c r="Y22" s="26" t="s">
        <v>250</v>
      </c>
      <c r="Z22" s="26" t="s">
        <v>250</v>
      </c>
      <c r="AA22" s="26" t="s">
        <v>250</v>
      </c>
      <c r="AB22" s="26" t="s">
        <v>250</v>
      </c>
      <c r="AC22" s="26">
        <v>375075</v>
      </c>
    </row>
    <row r="23" spans="1:44" ht="15.75" customHeight="1">
      <c r="A23" s="104" t="s">
        <v>255</v>
      </c>
      <c r="B23" s="110">
        <v>0.6</v>
      </c>
      <c r="C23" s="110">
        <v>0.44999999999999996</v>
      </c>
      <c r="D23" s="110">
        <v>0.6</v>
      </c>
      <c r="E23" s="110">
        <v>0.75</v>
      </c>
      <c r="F23" s="110">
        <v>0.6</v>
      </c>
      <c r="X23" s="25" t="s">
        <v>256</v>
      </c>
      <c r="Y23" s="28">
        <v>614720927</v>
      </c>
      <c r="Z23" s="28">
        <v>448175567</v>
      </c>
      <c r="AA23" s="28">
        <v>304163372</v>
      </c>
      <c r="AB23" s="28">
        <v>259262541</v>
      </c>
      <c r="AC23" s="28">
        <v>312929538</v>
      </c>
    </row>
    <row r="24" spans="1:44" ht="15.75" customHeight="1">
      <c r="A24" s="117" t="s">
        <v>257</v>
      </c>
      <c r="B24" s="106">
        <v>0.17336872560295868</v>
      </c>
      <c r="C24" s="106">
        <v>0.19855054586784965</v>
      </c>
      <c r="D24" s="106">
        <v>0.16550801169835996</v>
      </c>
      <c r="E24" s="106">
        <v>0.13188185686457357</v>
      </c>
      <c r="F24" s="106">
        <v>0.15737129698491048</v>
      </c>
      <c r="X24" s="25" t="s">
        <v>31</v>
      </c>
      <c r="Y24" s="28">
        <v>1259328610</v>
      </c>
      <c r="Z24" s="28">
        <v>992886661</v>
      </c>
      <c r="AA24" s="28">
        <v>833443027</v>
      </c>
      <c r="AB24" s="28">
        <v>706666079</v>
      </c>
      <c r="AC24" s="28">
        <v>662938624</v>
      </c>
    </row>
    <row r="25" spans="1:44" ht="15.75" customHeight="1">
      <c r="A25" s="104" t="s">
        <v>236</v>
      </c>
      <c r="B25" s="109">
        <v>2</v>
      </c>
      <c r="C25" s="109">
        <v>2</v>
      </c>
      <c r="D25" s="109">
        <v>3</v>
      </c>
      <c r="E25" s="109">
        <v>3</v>
      </c>
      <c r="F25" s="109">
        <v>3</v>
      </c>
    </row>
    <row r="26" spans="1:44" ht="15.75" customHeight="1">
      <c r="A26" s="104" t="s">
        <v>238</v>
      </c>
      <c r="B26" s="106">
        <v>0.15</v>
      </c>
      <c r="C26" s="106">
        <v>0.15</v>
      </c>
      <c r="D26" s="106">
        <v>0.15</v>
      </c>
      <c r="E26" s="106">
        <v>0.15</v>
      </c>
      <c r="F26" s="106">
        <v>0.15</v>
      </c>
    </row>
    <row r="27" spans="1:44" ht="15" customHeight="1">
      <c r="A27" s="104" t="s">
        <v>258</v>
      </c>
      <c r="B27" s="110">
        <v>0.3</v>
      </c>
      <c r="C27" s="110">
        <v>0.3</v>
      </c>
      <c r="D27" s="110">
        <v>0.44999999999999996</v>
      </c>
      <c r="E27" s="110">
        <v>0.44999999999999996</v>
      </c>
      <c r="F27" s="110">
        <v>0.44999999999999996</v>
      </c>
    </row>
    <row r="28" spans="1:44" ht="15.75" customHeight="1">
      <c r="A28" s="111"/>
      <c r="B28" s="111"/>
      <c r="C28" s="111"/>
      <c r="D28" s="111"/>
      <c r="E28" s="111"/>
      <c r="F28" s="111"/>
      <c r="AM28" s="26"/>
      <c r="AN28" s="111">
        <v>2021</v>
      </c>
      <c r="AO28" s="111">
        <v>2020</v>
      </c>
      <c r="AP28" s="111">
        <v>2019</v>
      </c>
      <c r="AQ28" s="111">
        <v>2018</v>
      </c>
      <c r="AR28" s="111">
        <v>2017</v>
      </c>
    </row>
    <row r="29" spans="1:44" ht="15.75" customHeight="1">
      <c r="A29" s="102" t="s">
        <v>259</v>
      </c>
      <c r="B29" s="103">
        <v>2021</v>
      </c>
      <c r="C29" s="103">
        <v>2020</v>
      </c>
      <c r="D29" s="103">
        <v>2019</v>
      </c>
      <c r="E29" s="103">
        <v>2018</v>
      </c>
      <c r="F29" s="103">
        <v>2017</v>
      </c>
      <c r="AM29" s="26" t="s">
        <v>260</v>
      </c>
      <c r="AN29" s="28">
        <v>477673022</v>
      </c>
      <c r="AO29" s="28">
        <v>395416055</v>
      </c>
      <c r="AP29" s="28">
        <v>372913863</v>
      </c>
      <c r="AQ29" s="28">
        <v>343107147</v>
      </c>
      <c r="AR29" s="28">
        <v>258693086</v>
      </c>
    </row>
    <row r="30" spans="1:44" ht="15.75" customHeight="1">
      <c r="A30" s="117" t="s">
        <v>261</v>
      </c>
      <c r="B30" s="106">
        <v>0.47033079582048987</v>
      </c>
      <c r="C30" s="106">
        <v>0.49972256874796983</v>
      </c>
      <c r="D30" s="106">
        <v>0.54896886349015672</v>
      </c>
      <c r="E30" s="106">
        <v>0.59812668660962698</v>
      </c>
      <c r="F30" s="106">
        <v>0.49199137327693759</v>
      </c>
      <c r="AM30" s="26" t="s">
        <v>262</v>
      </c>
      <c r="AN30" s="28">
        <v>1259328610</v>
      </c>
      <c r="AO30" s="28">
        <v>992886661</v>
      </c>
      <c r="AP30" s="28">
        <v>833433027</v>
      </c>
      <c r="AQ30" s="28">
        <v>706451322</v>
      </c>
      <c r="AR30" s="28">
        <v>662610675</v>
      </c>
    </row>
    <row r="31" spans="1:44" ht="15.75" customHeight="1">
      <c r="A31" s="104" t="s">
        <v>236</v>
      </c>
      <c r="B31" s="109">
        <v>1</v>
      </c>
      <c r="C31" s="109">
        <v>1</v>
      </c>
      <c r="D31" s="109">
        <v>1</v>
      </c>
      <c r="E31" s="109">
        <v>1</v>
      </c>
      <c r="F31" s="109">
        <v>1</v>
      </c>
      <c r="AM31" s="26"/>
      <c r="AN31" s="26">
        <v>0.37930768681575494</v>
      </c>
      <c r="AO31" s="26">
        <v>0.39824893467875888</v>
      </c>
      <c r="AP31" s="26">
        <v>0.44744310690725725</v>
      </c>
      <c r="AQ31" s="26">
        <v>0.48567698341712495</v>
      </c>
      <c r="AR31" s="26">
        <v>0.39041490842265708</v>
      </c>
    </row>
    <row r="32" spans="1:44" ht="15.75" customHeight="1">
      <c r="A32" s="104" t="s">
        <v>238</v>
      </c>
      <c r="B32" s="106">
        <v>0.05</v>
      </c>
      <c r="C32" s="106">
        <v>0.05</v>
      </c>
      <c r="D32" s="106">
        <v>0.05</v>
      </c>
      <c r="E32" s="106">
        <v>0.05</v>
      </c>
      <c r="F32" s="106">
        <v>0.05</v>
      </c>
    </row>
    <row r="33" spans="1:29" ht="15.75" customHeight="1">
      <c r="A33" s="104" t="s">
        <v>240</v>
      </c>
      <c r="B33" s="110">
        <v>0.05</v>
      </c>
      <c r="C33" s="110">
        <v>0.05</v>
      </c>
      <c r="D33" s="110">
        <v>0.05</v>
      </c>
      <c r="E33" s="110">
        <v>0.05</v>
      </c>
      <c r="F33" s="110">
        <v>0.05</v>
      </c>
    </row>
    <row r="34" spans="1:29" ht="15.75" customHeight="1">
      <c r="A34" s="104" t="s">
        <v>263</v>
      </c>
      <c r="B34" s="106">
        <v>0.37930768681575494</v>
      </c>
      <c r="C34" s="106">
        <v>0.39824893467875888</v>
      </c>
      <c r="D34" s="106">
        <v>0.44744310690725725</v>
      </c>
      <c r="E34" s="106">
        <v>0.48567698341712495</v>
      </c>
      <c r="F34" s="106">
        <v>0.39041490842265708</v>
      </c>
    </row>
    <row r="35" spans="1:29" ht="15.75" customHeight="1">
      <c r="A35" s="104" t="s">
        <v>236</v>
      </c>
      <c r="B35" s="108">
        <v>1</v>
      </c>
      <c r="C35" s="108">
        <v>1</v>
      </c>
      <c r="D35" s="108">
        <v>1</v>
      </c>
      <c r="E35" s="108">
        <v>1</v>
      </c>
      <c r="F35" s="108">
        <v>1</v>
      </c>
    </row>
    <row r="36" spans="1:29" ht="15.75" customHeight="1">
      <c r="A36" s="104" t="s">
        <v>238</v>
      </c>
      <c r="B36" s="118">
        <v>0.05</v>
      </c>
      <c r="C36" s="118">
        <v>0.05</v>
      </c>
      <c r="D36" s="118">
        <v>0.05</v>
      </c>
      <c r="E36" s="118">
        <v>0.05</v>
      </c>
      <c r="F36" s="118">
        <v>0.05</v>
      </c>
    </row>
    <row r="37" spans="1:29" ht="15" customHeight="1">
      <c r="A37" s="104" t="s">
        <v>240</v>
      </c>
      <c r="B37" s="104">
        <v>0.05</v>
      </c>
      <c r="C37" s="104">
        <v>0.05</v>
      </c>
      <c r="D37" s="104">
        <v>0.05</v>
      </c>
      <c r="E37" s="104">
        <v>0.05</v>
      </c>
      <c r="F37" s="104">
        <v>0.05</v>
      </c>
    </row>
    <row r="38" spans="1:29" ht="15.75" customHeight="1">
      <c r="A38" s="119"/>
      <c r="B38" s="119"/>
      <c r="C38" s="119"/>
      <c r="D38" s="119"/>
      <c r="E38" s="119"/>
      <c r="F38" s="119"/>
      <c r="X38" s="136" t="s">
        <v>264</v>
      </c>
      <c r="Y38" s="128"/>
      <c r="Z38" s="128"/>
      <c r="AA38" s="128"/>
      <c r="AB38" s="128"/>
      <c r="AC38" s="128"/>
    </row>
    <row r="39" spans="1:29" ht="15.75" customHeight="1">
      <c r="A39" s="102" t="s">
        <v>265</v>
      </c>
      <c r="B39" s="103">
        <v>2021</v>
      </c>
      <c r="C39" s="103">
        <v>2020</v>
      </c>
      <c r="D39" s="103">
        <v>2019</v>
      </c>
      <c r="E39" s="103">
        <v>2018</v>
      </c>
      <c r="F39" s="103">
        <v>2017</v>
      </c>
      <c r="X39" s="120" t="s">
        <v>227</v>
      </c>
      <c r="Y39" s="105">
        <v>2021</v>
      </c>
      <c r="Z39" s="105">
        <v>2020</v>
      </c>
      <c r="AA39" s="105">
        <v>2019</v>
      </c>
      <c r="AB39" s="105">
        <v>2018</v>
      </c>
      <c r="AC39" s="105">
        <v>2017</v>
      </c>
    </row>
    <row r="40" spans="1:29" ht="15.75" customHeight="1">
      <c r="A40" s="105"/>
      <c r="B40" s="106">
        <v>0.48813385332363729</v>
      </c>
      <c r="C40" s="106">
        <v>0.45138643170874465</v>
      </c>
      <c r="D40" s="106">
        <v>0.36494800741790834</v>
      </c>
      <c r="E40" s="106">
        <v>0.36688125934512272</v>
      </c>
      <c r="F40" s="106">
        <v>0.47203395106452567</v>
      </c>
      <c r="X40" s="121"/>
      <c r="Y40" s="121"/>
      <c r="Z40" s="121"/>
      <c r="AA40" s="121"/>
      <c r="AB40" s="121"/>
      <c r="AC40" s="121"/>
    </row>
    <row r="41" spans="1:29" ht="15.75" customHeight="1">
      <c r="A41" s="104" t="s">
        <v>266</v>
      </c>
      <c r="B41" s="109">
        <v>5</v>
      </c>
      <c r="C41" s="109">
        <v>5</v>
      </c>
      <c r="D41" s="109">
        <v>5</v>
      </c>
      <c r="E41" s="109">
        <v>5</v>
      </c>
      <c r="F41" s="109">
        <v>5</v>
      </c>
      <c r="X41" s="120" t="s">
        <v>124</v>
      </c>
      <c r="Y41" s="122">
        <v>0.1338</v>
      </c>
      <c r="Z41" s="122">
        <v>0.15479999999999999</v>
      </c>
      <c r="AA41" s="122">
        <v>0.1338</v>
      </c>
      <c r="AB41" s="122">
        <v>0.12509999999999999</v>
      </c>
      <c r="AC41" s="122">
        <v>0.12089999999999999</v>
      </c>
    </row>
    <row r="42" spans="1:29" ht="15.75" customHeight="1">
      <c r="A42" s="104" t="s">
        <v>238</v>
      </c>
      <c r="B42" s="106">
        <v>0.1</v>
      </c>
      <c r="C42" s="106">
        <v>0.1</v>
      </c>
      <c r="D42" s="106">
        <v>0.1</v>
      </c>
      <c r="E42" s="106">
        <v>0.1</v>
      </c>
      <c r="F42" s="106">
        <v>0.1</v>
      </c>
      <c r="X42" s="120" t="s">
        <v>236</v>
      </c>
      <c r="Y42" s="123">
        <v>1</v>
      </c>
      <c r="Z42" s="123">
        <v>1</v>
      </c>
      <c r="AA42" s="123">
        <v>1</v>
      </c>
      <c r="AB42" s="123">
        <v>1</v>
      </c>
      <c r="AC42" s="123">
        <v>1</v>
      </c>
    </row>
    <row r="43" spans="1:29" ht="15.75" customHeight="1">
      <c r="A43" s="104" t="s">
        <v>240</v>
      </c>
      <c r="B43" s="110">
        <v>0.5</v>
      </c>
      <c r="C43" s="110">
        <v>0.5</v>
      </c>
      <c r="D43" s="110">
        <v>0.5</v>
      </c>
      <c r="E43" s="110">
        <v>0.5</v>
      </c>
      <c r="F43" s="110">
        <v>0.5</v>
      </c>
      <c r="X43" s="120" t="s">
        <v>238</v>
      </c>
      <c r="Y43" s="122">
        <v>0.2</v>
      </c>
      <c r="Z43" s="122">
        <v>0.2</v>
      </c>
      <c r="AA43" s="122">
        <v>0.2</v>
      </c>
      <c r="AB43" s="122">
        <v>0.2</v>
      </c>
      <c r="AC43" s="122">
        <v>0.2</v>
      </c>
    </row>
    <row r="44" spans="1:29" ht="15.75" customHeight="1"/>
    <row r="45" spans="1:29" ht="15.75" customHeight="1">
      <c r="X45" s="25" t="s">
        <v>239</v>
      </c>
      <c r="Y45" s="105">
        <v>2021</v>
      </c>
      <c r="Z45" s="105">
        <v>2020</v>
      </c>
      <c r="AA45" s="105">
        <v>2019</v>
      </c>
      <c r="AB45" s="105">
        <v>2018</v>
      </c>
      <c r="AC45" s="105">
        <v>2017</v>
      </c>
    </row>
    <row r="46" spans="1:29" ht="15.75" customHeight="1"/>
    <row r="47" spans="1:29" ht="15.75" customHeight="1">
      <c r="X47" s="25" t="s">
        <v>247</v>
      </c>
      <c r="Y47" s="47">
        <v>2.1632311221397296</v>
      </c>
      <c r="Z47" s="47">
        <v>1.8622068330681127</v>
      </c>
      <c r="AA47" s="47">
        <v>2.5983639552624069</v>
      </c>
      <c r="AB47" s="47">
        <v>3.6649729491131002</v>
      </c>
      <c r="AC47" s="47">
        <v>2.9187255915337253</v>
      </c>
    </row>
    <row r="48" spans="1:29" ht="15" customHeight="1">
      <c r="X48" s="25" t="s">
        <v>236</v>
      </c>
      <c r="Y48" s="25">
        <v>5</v>
      </c>
      <c r="Z48" s="25">
        <v>5</v>
      </c>
      <c r="AA48" s="25">
        <v>5</v>
      </c>
      <c r="AB48" s="25">
        <v>5</v>
      </c>
      <c r="AC48" s="25">
        <v>5</v>
      </c>
    </row>
    <row r="49" spans="24:29" ht="15" customHeight="1">
      <c r="X49" s="25" t="s">
        <v>238</v>
      </c>
      <c r="Y49" s="47">
        <v>0.25</v>
      </c>
      <c r="Z49" s="47">
        <v>0.25</v>
      </c>
      <c r="AA49" s="47">
        <v>0.25</v>
      </c>
      <c r="AB49" s="47">
        <v>0.25</v>
      </c>
      <c r="AC49" s="47">
        <v>0.25</v>
      </c>
    </row>
    <row r="50" spans="24:29" ht="15" customHeight="1">
      <c r="X50" s="25" t="s">
        <v>240</v>
      </c>
      <c r="Y50" s="25">
        <v>1.25</v>
      </c>
      <c r="Z50" s="25">
        <v>1.25</v>
      </c>
      <c r="AA50" s="25">
        <v>1.25</v>
      </c>
      <c r="AB50" s="25">
        <v>1.25</v>
      </c>
      <c r="AC50" s="25">
        <v>1.25</v>
      </c>
    </row>
    <row r="51" spans="24:29" ht="15.75" customHeight="1"/>
    <row r="52" spans="24:29" ht="15" customHeight="1">
      <c r="X52" s="25" t="s">
        <v>244</v>
      </c>
      <c r="Y52" s="105">
        <v>2021</v>
      </c>
      <c r="Z52" s="105">
        <v>2020</v>
      </c>
      <c r="AA52" s="105">
        <v>2019</v>
      </c>
      <c r="AB52" s="105">
        <v>2018</v>
      </c>
      <c r="AC52" s="105">
        <v>2017</v>
      </c>
    </row>
    <row r="53" spans="24:29" ht="15.75" customHeight="1"/>
    <row r="54" spans="24:29" ht="15" customHeight="1">
      <c r="X54" s="25" t="s">
        <v>265</v>
      </c>
      <c r="Y54" s="47">
        <v>0.48813385332363729</v>
      </c>
      <c r="Z54" s="47">
        <v>0.45138643170874465</v>
      </c>
      <c r="AA54" s="47">
        <v>0.36494800741790834</v>
      </c>
      <c r="AB54" s="47">
        <v>0.36688125934512272</v>
      </c>
      <c r="AC54" s="47">
        <v>0.47203395106452567</v>
      </c>
    </row>
    <row r="55" spans="24:29" ht="15" customHeight="1">
      <c r="X55" s="25" t="s">
        <v>266</v>
      </c>
      <c r="Y55" s="25">
        <v>5</v>
      </c>
      <c r="Z55" s="25">
        <v>5</v>
      </c>
      <c r="AA55" s="25">
        <v>5</v>
      </c>
      <c r="AB55" s="25">
        <v>5</v>
      </c>
      <c r="AC55" s="25">
        <v>5</v>
      </c>
    </row>
    <row r="56" spans="24:29" ht="15" customHeight="1">
      <c r="X56" s="25" t="s">
        <v>238</v>
      </c>
      <c r="Y56" s="47">
        <v>0.1</v>
      </c>
      <c r="Z56" s="47">
        <v>0.1</v>
      </c>
      <c r="AA56" s="47">
        <v>0.1</v>
      </c>
      <c r="AB56" s="47">
        <v>0.1</v>
      </c>
      <c r="AC56" s="47">
        <v>0.1</v>
      </c>
    </row>
    <row r="57" spans="24:29" ht="15" customHeight="1">
      <c r="X57" s="25" t="s">
        <v>240</v>
      </c>
      <c r="Y57" s="25">
        <v>0.5</v>
      </c>
      <c r="Z57" s="25">
        <v>0.5</v>
      </c>
      <c r="AA57" s="25">
        <v>0.5</v>
      </c>
      <c r="AB57" s="25">
        <v>0.5</v>
      </c>
      <c r="AC57" s="25">
        <v>0.5</v>
      </c>
    </row>
    <row r="58" spans="24:29" ht="15.75" customHeight="1"/>
    <row r="59" spans="24:29" ht="15.75" customHeight="1"/>
    <row r="60" spans="24:29" ht="15.75" customHeight="1"/>
    <row r="61" spans="24:29" ht="15.75" customHeight="1"/>
    <row r="62" spans="24:29" ht="15" customHeight="1">
      <c r="X62" s="26" t="s">
        <v>94</v>
      </c>
    </row>
    <row r="63" spans="24:29" ht="15.75" customHeight="1"/>
    <row r="64" spans="24:29" ht="15.75" customHeight="1"/>
    <row r="65" spans="24:29" ht="15" customHeight="1">
      <c r="X65" s="26" t="s">
        <v>25</v>
      </c>
      <c r="Y65" s="28">
        <v>477588</v>
      </c>
      <c r="Z65" s="28">
        <v>395374</v>
      </c>
      <c r="AA65" s="28">
        <v>372914</v>
      </c>
    </row>
    <row r="66" spans="24:29" ht="15" customHeight="1">
      <c r="X66" s="26" t="s">
        <v>267</v>
      </c>
      <c r="Y66" s="28">
        <v>1015430</v>
      </c>
      <c r="Z66" s="28">
        <v>791187</v>
      </c>
      <c r="AA66" s="28">
        <v>679299</v>
      </c>
    </row>
    <row r="67" spans="24:29" ht="15.75" customHeight="1"/>
    <row r="68" spans="24:29" ht="15.75" customHeight="1"/>
    <row r="69" spans="24:29" ht="15" customHeight="1">
      <c r="Y69" s="28">
        <v>343107</v>
      </c>
      <c r="Z69" s="28">
        <v>258693</v>
      </c>
    </row>
    <row r="70" spans="24:29" ht="15" customHeight="1">
      <c r="Y70" s="28">
        <v>573636</v>
      </c>
      <c r="Z70" s="28">
        <v>525808</v>
      </c>
    </row>
    <row r="71" spans="24:29" ht="15.75" customHeight="1"/>
    <row r="72" spans="24:29" ht="15" customHeight="1">
      <c r="X72" s="26"/>
      <c r="Y72" s="26"/>
      <c r="Z72" s="26"/>
      <c r="AA72" s="26"/>
      <c r="AB72" s="26"/>
      <c r="AC72" s="26"/>
    </row>
    <row r="73" spans="24:29" ht="15" customHeight="1">
      <c r="X73" s="115"/>
      <c r="Y73" s="114">
        <v>2021</v>
      </c>
      <c r="Z73" s="114">
        <v>2020</v>
      </c>
      <c r="AA73" s="114">
        <v>2019</v>
      </c>
      <c r="AB73" s="114">
        <v>2018</v>
      </c>
      <c r="AC73" s="114">
        <v>2017</v>
      </c>
    </row>
    <row r="74" spans="24:29" ht="15" customHeight="1">
      <c r="X74" s="114" t="s">
        <v>25</v>
      </c>
      <c r="Y74" s="124">
        <v>477673022</v>
      </c>
      <c r="Z74" s="124">
        <v>395416055</v>
      </c>
      <c r="AA74" s="124">
        <v>372913863</v>
      </c>
      <c r="AB74" s="124">
        <v>343107147</v>
      </c>
      <c r="AC74" s="124">
        <v>258693086</v>
      </c>
    </row>
    <row r="75" spans="24:29" ht="15" customHeight="1">
      <c r="X75" s="114" t="s">
        <v>268</v>
      </c>
      <c r="Y75" s="124">
        <v>31165327</v>
      </c>
      <c r="Z75" s="124">
        <v>28736399</v>
      </c>
      <c r="AA75" s="124">
        <v>28133973</v>
      </c>
      <c r="AB75" s="124">
        <v>26657086</v>
      </c>
      <c r="AC75" s="124">
        <v>26753027</v>
      </c>
    </row>
    <row r="76" spans="24:29" ht="15" customHeight="1">
      <c r="X76" s="114" t="s">
        <v>269</v>
      </c>
      <c r="Y76" s="124">
        <v>28518930</v>
      </c>
      <c r="Z76" s="124">
        <v>24842078</v>
      </c>
      <c r="AA76" s="124">
        <v>24408056</v>
      </c>
      <c r="AB76" s="124">
        <v>25113169</v>
      </c>
      <c r="AC76" s="124">
        <v>24962069</v>
      </c>
    </row>
    <row r="77" spans="24:29" ht="15.75" customHeight="1"/>
    <row r="78" spans="24:29" ht="15.75" customHeight="1"/>
    <row r="79" spans="24:29" ht="15.75" customHeight="1"/>
    <row r="80" spans="24:2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X38:AC38"/>
  </mergeCells>
  <pageMargins left="0.7" right="0.7" top="0.75" bottom="0.75" header="0" footer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X100"/>
  <sheetViews>
    <sheetView tabSelected="1" zoomScale="57" zoomScaleNormal="57" workbookViewId="0">
      <selection activeCell="Y22" sqref="Y22"/>
    </sheetView>
  </sheetViews>
  <sheetFormatPr defaultColWidth="14" defaultRowHeight="15" customHeight="1"/>
  <cols>
    <col min="1" max="24" width="8.75" style="1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 avg</vt:lpstr>
      <vt:lpstr>Balance Sheet</vt:lpstr>
      <vt:lpstr>Income Statement</vt:lpstr>
      <vt:lpstr>Sheet1 (2)</vt:lpstr>
      <vt:lpstr>Profitability Ratios</vt:lpstr>
      <vt:lpstr>Risk Ratios</vt:lpstr>
      <vt:lpstr>CAMELS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</cp:lastModifiedBy>
  <dcterms:created xsi:type="dcterms:W3CDTF">2022-04-20T03:11:53Z</dcterms:created>
  <dcterms:modified xsi:type="dcterms:W3CDTF">2022-04-20T03:29:44Z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e6b836a341c843f59e41545f1c737a29</vt:lpwstr>
  </property>
</Properties>
</file>