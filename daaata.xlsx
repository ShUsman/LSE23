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BBA 6\FSA\"/>
    </mc:Choice>
  </mc:AlternateContent>
  <xr:revisionPtr revIDLastSave="0" documentId="8_{7CF9DA78-B29F-452A-8F3C-71F571F57765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SOFP" sheetId="1" r:id="rId1"/>
    <sheet name="is ha" sheetId="8" r:id="rId2"/>
    <sheet name="is va" sheetId="7" r:id="rId3"/>
    <sheet name="IS" sheetId="2" r:id="rId4"/>
    <sheet name="Margins" sheetId="9" r:id="rId5"/>
    <sheet name="Sheet2" sheetId="10" r:id="rId6"/>
    <sheet name="SOCF" sheetId="3" r:id="rId7"/>
    <sheet name="Analysis" sheetId="4" r:id="rId8"/>
    <sheet name="BS Ha" sheetId="5" r:id="rId9"/>
    <sheet name="BS Va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9" l="1"/>
  <c r="D26" i="9"/>
  <c r="E26" i="9"/>
  <c r="F26" i="9"/>
  <c r="G26" i="9"/>
  <c r="B26" i="9"/>
  <c r="C19" i="9"/>
  <c r="C20" i="9" s="1"/>
  <c r="D19" i="9"/>
  <c r="D20" i="9" s="1"/>
  <c r="E19" i="9"/>
  <c r="E20" i="9" s="1"/>
  <c r="F19" i="9"/>
  <c r="F20" i="9" s="1"/>
  <c r="G19" i="9"/>
  <c r="G20" i="9" s="1"/>
  <c r="B19" i="9"/>
  <c r="B20" i="9" s="1"/>
  <c r="C9" i="9"/>
  <c r="D9" i="9"/>
  <c r="E9" i="9"/>
  <c r="F9" i="9"/>
  <c r="G9" i="9"/>
  <c r="B9" i="9"/>
  <c r="G33" i="9"/>
  <c r="F33" i="9"/>
  <c r="E33" i="9"/>
  <c r="D33" i="9"/>
  <c r="I67" i="8"/>
  <c r="I68" i="8"/>
  <c r="I66" i="8"/>
  <c r="I6" i="8"/>
  <c r="I7" i="8"/>
  <c r="I8" i="8"/>
  <c r="I9" i="8"/>
  <c r="I10" i="8"/>
  <c r="I11" i="8"/>
  <c r="I12" i="8"/>
  <c r="I13" i="8"/>
  <c r="I14" i="8"/>
  <c r="I15" i="8"/>
  <c r="I16" i="8"/>
  <c r="I17" i="8"/>
  <c r="I21" i="8"/>
  <c r="I22" i="8"/>
  <c r="I23" i="8"/>
  <c r="I27" i="8"/>
  <c r="I28" i="8"/>
  <c r="I30" i="8"/>
  <c r="G6" i="8"/>
  <c r="G7" i="8"/>
  <c r="G8" i="8"/>
  <c r="G9" i="8"/>
  <c r="G10" i="8"/>
  <c r="G11" i="8"/>
  <c r="G12" i="8"/>
  <c r="G13" i="8"/>
  <c r="G14" i="8"/>
  <c r="G15" i="8"/>
  <c r="G16" i="8"/>
  <c r="G17" i="8"/>
  <c r="G21" i="8"/>
  <c r="G22" i="8"/>
  <c r="G23" i="8"/>
  <c r="G27" i="8"/>
  <c r="G28" i="8"/>
  <c r="G30" i="8"/>
  <c r="E6" i="8"/>
  <c r="E7" i="8"/>
  <c r="E8" i="8"/>
  <c r="E9" i="8"/>
  <c r="E10" i="8"/>
  <c r="E11" i="8"/>
  <c r="E12" i="8"/>
  <c r="E13" i="8"/>
  <c r="E14" i="8"/>
  <c r="E15" i="8"/>
  <c r="E16" i="8"/>
  <c r="E17" i="8"/>
  <c r="E21" i="8"/>
  <c r="E22" i="8"/>
  <c r="E23" i="8"/>
  <c r="E27" i="8"/>
  <c r="E28" i="8"/>
  <c r="E30" i="8"/>
  <c r="I5" i="8"/>
  <c r="G5" i="8"/>
  <c r="E5" i="8"/>
  <c r="C6" i="8"/>
  <c r="C7" i="8"/>
  <c r="C8" i="8"/>
  <c r="C9" i="8"/>
  <c r="C10" i="8"/>
  <c r="C11" i="8"/>
  <c r="C12" i="8"/>
  <c r="C13" i="8"/>
  <c r="C14" i="8"/>
  <c r="C15" i="8"/>
  <c r="C16" i="8"/>
  <c r="C17" i="8"/>
  <c r="C21" i="8"/>
  <c r="C22" i="8"/>
  <c r="C23" i="8"/>
  <c r="C27" i="8"/>
  <c r="C28" i="8"/>
  <c r="C30" i="8"/>
  <c r="C5" i="8"/>
  <c r="J23" i="8"/>
  <c r="H23" i="8"/>
  <c r="F23" i="8"/>
  <c r="K4" i="7"/>
  <c r="K5" i="7"/>
  <c r="K6" i="7"/>
  <c r="K7" i="7"/>
  <c r="K8" i="7"/>
  <c r="K9" i="7"/>
  <c r="K10" i="7"/>
  <c r="K11" i="7"/>
  <c r="K12" i="7"/>
  <c r="K13" i="7"/>
  <c r="K14" i="7"/>
  <c r="K15" i="7"/>
  <c r="K19" i="7"/>
  <c r="K20" i="7"/>
  <c r="K25" i="7"/>
  <c r="K26" i="7"/>
  <c r="K3" i="7"/>
  <c r="I4" i="7"/>
  <c r="I5" i="7"/>
  <c r="I6" i="7"/>
  <c r="I7" i="7"/>
  <c r="I8" i="7"/>
  <c r="I9" i="7"/>
  <c r="I10" i="7"/>
  <c r="I11" i="7"/>
  <c r="I12" i="7"/>
  <c r="I13" i="7"/>
  <c r="I14" i="7"/>
  <c r="I15" i="7"/>
  <c r="I19" i="7"/>
  <c r="I20" i="7"/>
  <c r="I25" i="7"/>
  <c r="I26" i="7"/>
  <c r="I3" i="7"/>
  <c r="G4" i="7"/>
  <c r="G5" i="7"/>
  <c r="G6" i="7"/>
  <c r="G7" i="7"/>
  <c r="G8" i="7"/>
  <c r="G9" i="7"/>
  <c r="G10" i="7"/>
  <c r="G11" i="7"/>
  <c r="G12" i="7"/>
  <c r="G13" i="7"/>
  <c r="G14" i="7"/>
  <c r="G15" i="7"/>
  <c r="G19" i="7"/>
  <c r="G20" i="7"/>
  <c r="G21" i="7"/>
  <c r="G25" i="7"/>
  <c r="G26" i="7"/>
  <c r="G3" i="7"/>
  <c r="E4" i="7"/>
  <c r="E5" i="7"/>
  <c r="E6" i="7"/>
  <c r="E7" i="7"/>
  <c r="E8" i="7"/>
  <c r="E9" i="7"/>
  <c r="E10" i="7"/>
  <c r="E11" i="7"/>
  <c r="E12" i="7"/>
  <c r="E13" i="7"/>
  <c r="E14" i="7"/>
  <c r="E15" i="7"/>
  <c r="E19" i="7"/>
  <c r="E20" i="7"/>
  <c r="E21" i="7"/>
  <c r="E25" i="7"/>
  <c r="E26" i="7"/>
  <c r="E3" i="7"/>
  <c r="C5" i="7"/>
  <c r="C6" i="7"/>
  <c r="C7" i="7"/>
  <c r="C8" i="7"/>
  <c r="C9" i="7"/>
  <c r="C10" i="7"/>
  <c r="C11" i="7"/>
  <c r="C12" i="7"/>
  <c r="C13" i="7"/>
  <c r="C14" i="7"/>
  <c r="C15" i="7"/>
  <c r="C19" i="7"/>
  <c r="C20" i="7"/>
  <c r="C21" i="7"/>
  <c r="C22" i="7"/>
  <c r="C23" i="7"/>
  <c r="C24" i="7"/>
  <c r="C25" i="7"/>
  <c r="C26" i="7"/>
  <c r="C4" i="7"/>
  <c r="C3" i="7"/>
  <c r="K28" i="7"/>
  <c r="I28" i="7"/>
  <c r="G28" i="7"/>
  <c r="E28" i="7"/>
  <c r="C28" i="7"/>
  <c r="J21" i="7"/>
  <c r="K21" i="7" s="1"/>
  <c r="H21" i="7"/>
  <c r="I21" i="7" s="1"/>
  <c r="F21" i="7"/>
  <c r="D23" i="2"/>
  <c r="G23" i="2"/>
  <c r="F23" i="2"/>
  <c r="E23" i="2"/>
  <c r="K7" i="6"/>
  <c r="K8" i="6"/>
  <c r="K9" i="6"/>
  <c r="K10" i="6"/>
  <c r="K13" i="6"/>
  <c r="K14" i="6"/>
  <c r="K15" i="6"/>
  <c r="K16" i="6"/>
  <c r="K17" i="6"/>
  <c r="K18" i="6"/>
  <c r="K20" i="6"/>
  <c r="K22" i="6"/>
  <c r="K26" i="6"/>
  <c r="K27" i="6"/>
  <c r="K28" i="6"/>
  <c r="K29" i="6"/>
  <c r="K31" i="6"/>
  <c r="K37" i="6"/>
  <c r="K38" i="6"/>
  <c r="K39" i="6"/>
  <c r="K41" i="6"/>
  <c r="K44" i="6"/>
  <c r="K45" i="6"/>
  <c r="K46" i="6"/>
  <c r="K47" i="6"/>
  <c r="K48" i="6"/>
  <c r="K49" i="6"/>
  <c r="K50" i="6"/>
  <c r="K53" i="6"/>
  <c r="K55" i="6"/>
  <c r="K57" i="6"/>
  <c r="K5" i="6"/>
  <c r="I6" i="6"/>
  <c r="I7" i="6"/>
  <c r="I8" i="6"/>
  <c r="I9" i="6"/>
  <c r="I10" i="6"/>
  <c r="I13" i="6"/>
  <c r="I14" i="6"/>
  <c r="I15" i="6"/>
  <c r="I16" i="6"/>
  <c r="I17" i="6"/>
  <c r="I18" i="6"/>
  <c r="I20" i="6"/>
  <c r="I22" i="6"/>
  <c r="I26" i="6"/>
  <c r="I27" i="6"/>
  <c r="I28" i="6"/>
  <c r="I29" i="6"/>
  <c r="I31" i="6"/>
  <c r="I36" i="6"/>
  <c r="I37" i="6"/>
  <c r="I38" i="6"/>
  <c r="I39" i="6"/>
  <c r="I41" i="6"/>
  <c r="I44" i="6"/>
  <c r="I45" i="6"/>
  <c r="I47" i="6"/>
  <c r="I48" i="6"/>
  <c r="I49" i="6"/>
  <c r="I50" i="6"/>
  <c r="I53" i="6"/>
  <c r="I55" i="6"/>
  <c r="I57" i="6"/>
  <c r="I5" i="6"/>
  <c r="G6" i="6"/>
  <c r="G7" i="6"/>
  <c r="G8" i="6"/>
  <c r="G9" i="6"/>
  <c r="G10" i="6"/>
  <c r="G13" i="6"/>
  <c r="G14" i="6"/>
  <c r="G15" i="6"/>
  <c r="G16" i="6"/>
  <c r="G17" i="6"/>
  <c r="G18" i="6"/>
  <c r="G20" i="6"/>
  <c r="G22" i="6"/>
  <c r="G26" i="6"/>
  <c r="G27" i="6"/>
  <c r="G28" i="6"/>
  <c r="G29" i="6"/>
  <c r="G31" i="6"/>
  <c r="G36" i="6"/>
  <c r="G37" i="6"/>
  <c r="G38" i="6"/>
  <c r="G39" i="6"/>
  <c r="G41" i="6"/>
  <c r="G44" i="6"/>
  <c r="G45" i="6"/>
  <c r="G46" i="6"/>
  <c r="G47" i="6"/>
  <c r="G48" i="6"/>
  <c r="G49" i="6"/>
  <c r="G50" i="6"/>
  <c r="G53" i="6"/>
  <c r="G55" i="6"/>
  <c r="G57" i="6"/>
  <c r="G5" i="6"/>
  <c r="E6" i="6"/>
  <c r="E7" i="6"/>
  <c r="E8" i="6"/>
  <c r="E9" i="6"/>
  <c r="E10" i="6"/>
  <c r="E13" i="6"/>
  <c r="E14" i="6"/>
  <c r="E15" i="6"/>
  <c r="E16" i="6"/>
  <c r="E17" i="6"/>
  <c r="E18" i="6"/>
  <c r="E20" i="6"/>
  <c r="E22" i="6"/>
  <c r="E26" i="6"/>
  <c r="E27" i="6"/>
  <c r="E28" i="6"/>
  <c r="E29" i="6"/>
  <c r="E31" i="6"/>
  <c r="E36" i="6"/>
  <c r="E37" i="6"/>
  <c r="E38" i="6"/>
  <c r="E39" i="6"/>
  <c r="E41" i="6"/>
  <c r="E44" i="6"/>
  <c r="E45" i="6"/>
  <c r="E46" i="6"/>
  <c r="E47" i="6"/>
  <c r="E48" i="6"/>
  <c r="E49" i="6"/>
  <c r="E50" i="6"/>
  <c r="E53" i="6"/>
  <c r="E55" i="6"/>
  <c r="E57" i="6"/>
  <c r="E5" i="6"/>
  <c r="C9" i="6"/>
  <c r="C10" i="6"/>
  <c r="C13" i="6"/>
  <c r="C14" i="6"/>
  <c r="C15" i="6"/>
  <c r="C16" i="6"/>
  <c r="C17" i="6"/>
  <c r="C18" i="6"/>
  <c r="C20" i="6"/>
  <c r="C22" i="6"/>
  <c r="C26" i="6"/>
  <c r="C27" i="6"/>
  <c r="C28" i="6"/>
  <c r="C31" i="6"/>
  <c r="C36" i="6"/>
  <c r="C37" i="6"/>
  <c r="C38" i="6"/>
  <c r="C39" i="6"/>
  <c r="C41" i="6"/>
  <c r="C44" i="6"/>
  <c r="C45" i="6"/>
  <c r="C46" i="6"/>
  <c r="C47" i="6"/>
  <c r="C48" i="6"/>
  <c r="C49" i="6"/>
  <c r="C50" i="6"/>
  <c r="C51" i="6"/>
  <c r="C53" i="6"/>
  <c r="C55" i="6"/>
  <c r="C57" i="6"/>
  <c r="C6" i="6"/>
  <c r="C7" i="6"/>
  <c r="C8" i="6"/>
  <c r="C5" i="6"/>
  <c r="I7" i="5"/>
  <c r="I8" i="5"/>
  <c r="I10" i="5"/>
  <c r="I13" i="5"/>
  <c r="I14" i="5"/>
  <c r="I15" i="5"/>
  <c r="I16" i="5"/>
  <c r="I17" i="5"/>
  <c r="I18" i="5"/>
  <c r="I20" i="5"/>
  <c r="I22" i="5"/>
  <c r="I26" i="5"/>
  <c r="I27" i="5"/>
  <c r="I28" i="5"/>
  <c r="I29" i="5"/>
  <c r="I31" i="5"/>
  <c r="I39" i="5"/>
  <c r="I41" i="5"/>
  <c r="I44" i="5"/>
  <c r="I45" i="5"/>
  <c r="I47" i="5"/>
  <c r="I48" i="5"/>
  <c r="I49" i="5"/>
  <c r="I53" i="5"/>
  <c r="I55" i="5"/>
  <c r="I57" i="5"/>
  <c r="G6" i="5"/>
  <c r="G7" i="5"/>
  <c r="G8" i="5"/>
  <c r="G10" i="5"/>
  <c r="G13" i="5"/>
  <c r="G14" i="5"/>
  <c r="G15" i="5"/>
  <c r="G16" i="5"/>
  <c r="G17" i="5"/>
  <c r="G18" i="5"/>
  <c r="G20" i="5"/>
  <c r="G22" i="5"/>
  <c r="G26" i="5"/>
  <c r="G27" i="5"/>
  <c r="G28" i="5"/>
  <c r="G29" i="5"/>
  <c r="G31" i="5"/>
  <c r="G36" i="5"/>
  <c r="G37" i="5"/>
  <c r="G38" i="5"/>
  <c r="G39" i="5"/>
  <c r="G41" i="5"/>
  <c r="G44" i="5"/>
  <c r="G45" i="5"/>
  <c r="G47" i="5"/>
  <c r="G48" i="5"/>
  <c r="G49" i="5"/>
  <c r="G53" i="5"/>
  <c r="G55" i="5"/>
  <c r="G57" i="5"/>
  <c r="E6" i="5"/>
  <c r="E7" i="5"/>
  <c r="E8" i="5"/>
  <c r="E10" i="5"/>
  <c r="E13" i="5"/>
  <c r="E14" i="5"/>
  <c r="E15" i="5"/>
  <c r="E16" i="5"/>
  <c r="E17" i="5"/>
  <c r="E18" i="5"/>
  <c r="E20" i="5"/>
  <c r="E22" i="5"/>
  <c r="E26" i="5"/>
  <c r="E27" i="5"/>
  <c r="E28" i="5"/>
  <c r="E29" i="5"/>
  <c r="E31" i="5"/>
  <c r="E36" i="5"/>
  <c r="E37" i="5"/>
  <c r="E38" i="5"/>
  <c r="E39" i="5"/>
  <c r="E41" i="5"/>
  <c r="E44" i="5"/>
  <c r="E45" i="5"/>
  <c r="E46" i="5"/>
  <c r="E47" i="5"/>
  <c r="E48" i="5"/>
  <c r="E49" i="5"/>
  <c r="E50" i="5"/>
  <c r="E53" i="5"/>
  <c r="E55" i="5"/>
  <c r="E57" i="5"/>
  <c r="I5" i="5"/>
  <c r="G5" i="5"/>
  <c r="E5" i="5"/>
  <c r="C6" i="5"/>
  <c r="C7" i="5"/>
  <c r="C8" i="5"/>
  <c r="C10" i="5"/>
  <c r="C13" i="5"/>
  <c r="C14" i="5"/>
  <c r="C15" i="5"/>
  <c r="C16" i="5"/>
  <c r="C17" i="5"/>
  <c r="C18" i="5"/>
  <c r="C20" i="5"/>
  <c r="C22" i="5"/>
  <c r="C26" i="5"/>
  <c r="C27" i="5"/>
  <c r="C28" i="5"/>
  <c r="C31" i="5"/>
  <c r="C36" i="5"/>
  <c r="C37" i="5"/>
  <c r="C38" i="5"/>
  <c r="C39" i="5"/>
  <c r="C41" i="5"/>
  <c r="C44" i="5"/>
  <c r="C45" i="5"/>
  <c r="C46" i="5"/>
  <c r="C47" i="5"/>
  <c r="C48" i="5"/>
  <c r="C49" i="5"/>
  <c r="C50" i="5"/>
  <c r="C53" i="5"/>
  <c r="C55" i="5"/>
  <c r="C57" i="5"/>
  <c r="C5" i="5"/>
</calcChain>
</file>

<file path=xl/sharedStrings.xml><?xml version="1.0" encoding="utf-8"?>
<sst xmlns="http://schemas.openxmlformats.org/spreadsheetml/2006/main" count="578" uniqueCount="206">
  <si>
    <t>Rupees</t>
  </si>
  <si>
    <t>ASSETS</t>
  </si>
  <si>
    <t>NON - CURRENT ASSETS</t>
  </si>
  <si>
    <t>Property, plant and equipment</t>
  </si>
  <si>
    <t>Intangible asset</t>
  </si>
  <si>
    <t>Long-term loans to employees</t>
  </si>
  <si>
    <t>Long-term deposits</t>
  </si>
  <si>
    <t>CURRENT ASSETS</t>
  </si>
  <si>
    <t>Inventories</t>
  </si>
  <si>
    <t>Trade debts</t>
  </si>
  <si>
    <t>Loans and advances</t>
  </si>
  <si>
    <t>Deposits, prepayments and other receivables</t>
  </si>
  <si>
    <t>Due from the government</t>
  </si>
  <si>
    <t>Cash and bank balances</t>
  </si>
  <si>
    <t>EQUITY AND LIABILITIES</t>
  </si>
  <si>
    <t>SHARE CAPITAL &amp; RESERVES</t>
  </si>
  <si>
    <t>Authorized share capital</t>
  </si>
  <si>
    <t>Issued, subscribed and paid-up capital</t>
  </si>
  <si>
    <t>Capital reserves:</t>
  </si>
  <si>
    <t>-</t>
  </si>
  <si>
    <t>Equity contribution from Directors and their relatives</t>
  </si>
  <si>
    <t>-</t>
  </si>
  <si>
    <t>LIABILITIES</t>
  </si>
  <si>
    <t>NON - CURRENT LIABILITIES</t>
  </si>
  <si>
    <t>Long-term financing - secured</t>
  </si>
  <si>
    <t>Deferred taxation</t>
  </si>
  <si>
    <t>Defined benefit obligation</t>
  </si>
  <si>
    <t>Deferred liabilities</t>
  </si>
  <si>
    <t>CURRENT LIABILITIES</t>
  </si>
  <si>
    <t>Trade and other payables</t>
  </si>
  <si>
    <t>Unclaimed dividends</t>
  </si>
  <si>
    <t>Unpaid dividends</t>
  </si>
  <si>
    <t>Accrued profit / interest / mark-up</t>
  </si>
  <si>
    <t>Short-term loans from banking companies - secured</t>
  </si>
  <si>
    <t>Short-term loans from Directors and their relatives - unsecured</t>
  </si>
  <si>
    <t>Current portion of long-term financing</t>
  </si>
  <si>
    <t>Current portion of deferred grant</t>
  </si>
  <si>
    <t>-</t>
  </si>
  <si>
    <t>STATEMENT OF PROFIT OR LOSS &amp;</t>
  </si>
  <si>
    <t>OTHER COMPREHENSIVE INCOME</t>
  </si>
  <si>
    <t>FOR THE YEAR ENDED JUNE 30, 2021</t>
  </si>
  <si>
    <t>Sales - net</t>
  </si>
  <si>
    <t>Cost of sales</t>
  </si>
  <si>
    <t>GROSS PROFIT</t>
  </si>
  <si>
    <t>Sales and marketing expenses</t>
  </si>
  <si>
    <t>Administrative expenses</t>
  </si>
  <si>
    <t>Other charges</t>
  </si>
  <si>
    <t>Allowance for expected credit losses</t>
  </si>
  <si>
    <t>Other income</t>
  </si>
  <si>
    <t>Finance cost</t>
  </si>
  <si>
    <t>PROFIT BEFORE TAXATION</t>
  </si>
  <si>
    <t>Taxation</t>
  </si>
  <si>
    <t>PROFIT FOR THE YEAR</t>
  </si>
  <si>
    <t>Items that may be reclassified subsequently to profit or loss</t>
  </si>
  <si>
    <t>Items that will not be subsequently reclassified to profit or loss:</t>
  </si>
  <si>
    <t>- Remeasurement of defined benefit obligation</t>
  </si>
  <si>
    <t>- Related deferred tax</t>
  </si>
  <si>
    <t>- Surplus on revaluation of property, plant and equipment</t>
  </si>
  <si>
    <t>Other comprehensive income - net of tax</t>
  </si>
  <si>
    <t>TOTAL COMPREHENSIVE INCOME FOR THE YEAR</t>
  </si>
  <si>
    <t>EARNINGS PER SHARE - BASIC AND DILUTED</t>
  </si>
  <si>
    <t>STATEMENT OF CASH FLOWS</t>
  </si>
  <si>
    <t>CASH FLOWS FROM OPERATING ACTIVITIES</t>
  </si>
  <si>
    <t>Cash used in / generated from operations</t>
  </si>
  <si>
    <t>Net increase in long-term loans to employees</t>
  </si>
  <si>
    <t>Net increase / decrease in long-term deposits</t>
  </si>
  <si>
    <t>Defined benefits paid</t>
  </si>
  <si>
    <t>Workers’ profit participation fund paid</t>
  </si>
  <si>
    <t>Finance cost paid</t>
  </si>
  <si>
    <t>Income tax paid - net</t>
  </si>
  <si>
    <t>Net cash used in operating activities</t>
  </si>
  <si>
    <t>CASH FLOWS FROM INVESTING ACTIVITIES</t>
  </si>
  <si>
    <t>Payments for acquisition of property, plant and equipment</t>
  </si>
  <si>
    <t>Proceeds from disposal of tangible fixed assets</t>
  </si>
  <si>
    <t>Profit received on term deposit receipts</t>
  </si>
  <si>
    <t>Net cash used in investing activities</t>
  </si>
  <si>
    <t>CASH FLOWS FROM FINANCING ACTIVITIES</t>
  </si>
  <si>
    <t>Long-term financing - net proceeds</t>
  </si>
  <si>
    <t>Net proceeds from short-term loans from banking companies</t>
  </si>
  <si>
    <t>Proceeds from issuance of ordinary shares</t>
  </si>
  <si>
    <t>Transaction costs relating to issue of ordinary shares</t>
  </si>
  <si>
    <t>Net repayment of equity contribution from Directors and their relatives</t>
  </si>
  <si>
    <t>Net repayment of short-term loans from Directors and their relatives</t>
  </si>
  <si>
    <t>Dividends paid</t>
  </si>
  <si>
    <t>Net cash generated from financing activities</t>
  </si>
  <si>
    <t>NET DECREASE IN CASH AND CASH EQUIVALENTS</t>
  </si>
  <si>
    <t>CASH AND CASH EQUIVALENTS AT THE BEGINNING OF THE YEAR</t>
  </si>
  <si>
    <t>CASH AND CASH EQUIVALENTS AT THE END OF THE YEAR</t>
  </si>
  <si>
    <t>FOR THE YEAR ENDED JUNE 30, 2019</t>
  </si>
  <si>
    <t>Cash generated from operations</t>
  </si>
  <si>
    <t>Net decrease in long-term loans to employees</t>
  </si>
  <si>
    <t>Net (increase) in long-term deposits</t>
  </si>
  <si>
    <t>Net increase in security deposit payable</t>
  </si>
  <si>
    <t>Workers’ welfare fund paid</t>
  </si>
  <si>
    <t>Net cash generated from operating activities</t>
  </si>
  <si>
    <t>Payments for property, plant &amp; equipment</t>
  </si>
  <si>
    <t>Repayment of long-term financing</t>
  </si>
  <si>
    <t>Proceeds from long-term financing</t>
  </si>
  <si>
    <t>Net proceeds  / repayment of short-term loans from banking companies</t>
  </si>
  <si>
    <t>Net repayment of short-term loans from Directors &amp; their relatives</t>
  </si>
  <si>
    <t>NET INCREASE / (DECREASE) IN CASH AND CASH EQUIVALENTS</t>
  </si>
  <si>
    <t>FOR THE YEAR ENDED JUNE 30, 2018</t>
  </si>
  <si>
    <t>Cash generated from / used in operations</t>
  </si>
  <si>
    <t>Net increase in long-term deposits</t>
  </si>
  <si>
    <t>Income tax paid</t>
  </si>
  <si>
    <t>NET CASH GENERATED FROM / USED IN OPERATING ACTIVITIES</t>
  </si>
  <si>
    <t>NET CASH USED IN INVESTING ACTIVITIES</t>
  </si>
  <si>
    <t>Short-term loans from banking companies - net</t>
  </si>
  <si>
    <t>Short-term loans from Directors &amp; their relatives - net</t>
  </si>
  <si>
    <t>Transaction costs</t>
  </si>
  <si>
    <t>Dividend paid</t>
  </si>
  <si>
    <t>NET CASH GENERATED FROM FINANCING ACTIVITIES</t>
  </si>
  <si>
    <t>NET DECREASE / INCREASE IN CASH AND CASH EQUIVALENTS</t>
  </si>
  <si>
    <t>HORIZONTAL</t>
  </si>
  <si>
    <t>ANALYSIS</t>
  </si>
  <si>
    <t>21 vs 20</t>
  </si>
  <si>
    <t>20 vs 19</t>
  </si>
  <si>
    <t>19 vs 18</t>
  </si>
  <si>
    <t>18 vs 17</t>
  </si>
  <si>
    <t>17 vs 16</t>
  </si>
  <si>
    <t>16 vs 15</t>
  </si>
  <si>
    <t>Rs. in ‘000’</t>
  </si>
  <si>
    <t>%</t>
  </si>
  <si>
    <t>%    Rs. in ‘000’</t>
  </si>
  <si>
    <t>%   Rs. in ‘000’</t>
  </si>
  <si>
    <t>Statement of Financial Position</t>
  </si>
  <si>
    <t>Total equity</t>
  </si>
  <si>
    <t>Total non-current liabilities</t>
  </si>
  <si>
    <t>Total current liabilities</t>
  </si>
  <si>
    <t>34.84  14,009,074</t>
  </si>
  <si>
    <t>Total equity &amp; liabilities</t>
  </si>
  <si>
    <t>63.24  25,606,108</t>
  </si>
  <si>
    <t>13.10  22,641,009</t>
  </si>
  <si>
    <t>29.56  17,474,757</t>
  </si>
  <si>
    <t>9.06  16,023,727</t>
  </si>
  <si>
    <t>36.02  11,780,293</t>
  </si>
  <si>
    <t>2.73  11,467,361</t>
  </si>
  <si>
    <t>Total non-current assets</t>
  </si>
  <si>
    <t>Total current assets</t>
  </si>
  <si>
    <t>65.86  15,640,302</t>
  </si>
  <si>
    <t>25.90  11,130,324</t>
  </si>
  <si>
    <t>Total assets</t>
  </si>
  <si>
    <t>63.25  25,606,108</t>
  </si>
  <si>
    <t>Statement of Profit or Loss</t>
  </si>
  <si>
    <t>Sales-net</t>
  </si>
  <si>
    <t>64.70  27,304,991</t>
  </si>
  <si>
    <t>38.70  22,225,843</t>
  </si>
  <si>
    <t>18.20  18,802,811</t>
  </si>
  <si>
    <t>55.08  12,241,272</t>
  </si>
  <si>
    <t>Less: cost of sales</t>
  </si>
  <si>
    <t>55.06  24,687,543</t>
  </si>
  <si>
    <t>42.24  19,431,431</t>
  </si>
  <si>
    <t>15.41  16,837,364</t>
  </si>
  <si>
    <t>55.06  10,914,917</t>
  </si>
  <si>
    <t>Gross profit</t>
  </si>
  <si>
    <t>55.22  1,326,355</t>
  </si>
  <si>
    <t>Less:</t>
  </si>
  <si>
    <t>Add: other income</t>
  </si>
  <si>
    <t>Profit before interest &amp; taxation  5,531,782</t>
  </si>
  <si>
    <t>59.93  1,073,774</t>
  </si>
  <si>
    <t>Less: finance costs</t>
  </si>
  <si>
    <t>Profit before taxation</t>
  </si>
  <si>
    <t>Less / (add): taxation</t>
  </si>
  <si>
    <t>Profit for the year</t>
  </si>
  <si>
    <t>VERTICAL</t>
  </si>
  <si>
    <t>45.19  14,009,074</t>
  </si>
  <si>
    <t>100.00  25,606,108</t>
  </si>
  <si>
    <t>100.00  22,641,009</t>
  </si>
  <si>
    <t>100.00  17,474,757</t>
  </si>
  <si>
    <t>100.00  16,023,727</t>
  </si>
  <si>
    <t>100.00  11,780,293</t>
  </si>
  <si>
    <t>100.00  11,467,361</t>
  </si>
  <si>
    <t>62.06  15,640,302</t>
  </si>
  <si>
    <t>61.89  11,130,324</t>
  </si>
  <si>
    <t>63.69  11,748,963</t>
  </si>
  <si>
    <t>100.00  27,304,991</t>
  </si>
  <si>
    <t>100.00  22,225,843</t>
  </si>
  <si>
    <t>100.00  18,802,811</t>
  </si>
  <si>
    <t>100.00  18,983,479</t>
  </si>
  <si>
    <t>100.00  12,241,272</t>
  </si>
  <si>
    <t>85.12  24,687,543</t>
  </si>
  <si>
    <t>89.66  19,431,431</t>
  </si>
  <si>
    <t>87.43  16,837,364</t>
  </si>
  <si>
    <t>89.55  16,924,658</t>
  </si>
  <si>
    <t>89.15  10,914,917</t>
  </si>
  <si>
    <t>10.85  1,326,355</t>
  </si>
  <si>
    <t>9.05  1,073,774</t>
  </si>
  <si>
    <t>Total liabilities</t>
  </si>
  <si>
    <t>TOTAL EQUITY &amp; LIABILITIES</t>
  </si>
  <si>
    <t>Total non - current liabilities</t>
  </si>
  <si>
    <t>Shareholders’ equity</t>
  </si>
  <si>
    <t>TOTAL ASSETS</t>
  </si>
  <si>
    <t>Total non - current assets</t>
  </si>
  <si>
    <t>2021-2020</t>
  </si>
  <si>
    <t>2020-2019</t>
  </si>
  <si>
    <t>2019-2018</t>
  </si>
  <si>
    <t xml:space="preserve">TREND Analysis </t>
  </si>
  <si>
    <t>Common Size</t>
  </si>
  <si>
    <t>2018-2017</t>
  </si>
  <si>
    <t xml:space="preserve">Local </t>
  </si>
  <si>
    <t>Export</t>
  </si>
  <si>
    <t xml:space="preserve">Trading </t>
  </si>
  <si>
    <t>Gross Profit Margin</t>
  </si>
  <si>
    <t>EBIT</t>
  </si>
  <si>
    <t>Operating Profit Margin</t>
  </si>
  <si>
    <t>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</si>
</sst>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;\(#,##0\)"/>
    <numFmt numFmtId="165" formatCode="0.00000000%"/>
  </numFmts>
  <fonts count="55" x14ac:knownFonts="1">
    <font>
      <sz val="10"/>
      <name val="Arial"/>
      <family val="2"/>
    </font>
    <font>
      <sz val="24"/>
      <color rgb="FFE30028"/>
      <name val="Arial"/>
      <family val="2"/>
    </font>
    <font>
      <sz val="12"/>
      <color rgb="FF565655"/>
      <name val="Arial Bold"/>
      <family val="2"/>
    </font>
    <font>
      <sz val="8"/>
      <color rgb="FF565655"/>
      <name val="Arial Bold"/>
      <family val="2"/>
    </font>
    <font>
      <sz val="8"/>
      <color rgb="FFE30028"/>
      <name val="Arial Bold"/>
      <family val="2"/>
    </font>
    <font>
      <sz val="9"/>
      <color rgb="FFE30028"/>
      <name val="Arial Bold"/>
      <family val="2"/>
    </font>
    <font>
      <sz val="9"/>
      <color rgb="FF565655"/>
      <name val="Arial"/>
      <family val="2"/>
    </font>
    <font>
      <sz val="9"/>
      <color rgb="FFE30028"/>
      <name val="Arial"/>
      <family val="2"/>
    </font>
    <font>
      <sz val="10"/>
      <color rgb="FF565655"/>
      <name val="Arial"/>
      <family val="2"/>
    </font>
    <font>
      <sz val="25"/>
      <color rgb="FFE30028"/>
      <name val="Arial"/>
      <family val="2"/>
    </font>
    <font>
      <sz val="9"/>
      <name val="Arial"/>
      <family val="2"/>
    </font>
    <font>
      <sz val="9"/>
      <color rgb="FF94C01B"/>
      <name val="Arial Bold"/>
      <family val="2"/>
    </font>
    <font>
      <sz val="9"/>
      <color rgb="FF94C01B"/>
      <name val="Arial"/>
      <family val="2"/>
    </font>
    <font>
      <sz val="8"/>
      <name val="Arial Bold"/>
      <family val="2"/>
    </font>
    <font>
      <sz val="8"/>
      <color rgb="FF94C01B"/>
      <name val="Arial Bold"/>
      <family val="2"/>
    </font>
    <font>
      <sz val="12"/>
      <name val="Arial Bold"/>
      <family val="2"/>
    </font>
    <font>
      <sz val="25"/>
      <color rgb="FF94C01B"/>
      <name val="Arial"/>
      <family val="2"/>
    </font>
    <font>
      <sz val="25"/>
      <color rgb="FF94C01B"/>
      <name val="Arial Bold"/>
      <family val="2"/>
    </font>
    <font>
      <sz val="9"/>
      <color rgb="FF1C242C"/>
      <name val="Arial"/>
      <family val="2"/>
    </font>
    <font>
      <sz val="9"/>
      <color rgb="FF007198"/>
      <name val="Arial Bold"/>
      <family val="2"/>
    </font>
    <font>
      <sz val="9"/>
      <color rgb="FF007198"/>
      <name val="Arial"/>
      <family val="2"/>
    </font>
    <font>
      <sz val="8"/>
      <color rgb="FF1C242C"/>
      <name val="Arial Bold"/>
      <family val="2"/>
    </font>
    <font>
      <sz val="8"/>
      <color rgb="FF007198"/>
      <name val="Arial Bold"/>
      <family val="2"/>
    </font>
    <font>
      <sz val="12"/>
      <color rgb="FF1C242C"/>
      <name val="Arial Bold"/>
      <family val="2"/>
    </font>
    <font>
      <sz val="25"/>
      <color rgb="FF007198"/>
      <name val="Arial"/>
      <family val="2"/>
    </font>
    <font>
      <sz val="25"/>
      <color rgb="FF007198"/>
      <name val="Arial Bold"/>
      <family val="2"/>
    </font>
    <font>
      <sz val="27"/>
      <color rgb="FF565655"/>
      <name val="Arial"/>
      <family val="2"/>
    </font>
    <font>
      <sz val="8"/>
      <color rgb="FF565655"/>
      <name val="Arial"/>
      <family val="2"/>
    </font>
    <font>
      <sz val="12"/>
      <color rgb="FF565655"/>
      <name val="Arial"/>
      <family val="2"/>
    </font>
    <font>
      <sz val="10"/>
      <name val="Arial"/>
      <family val="2"/>
    </font>
    <font>
      <sz val="10"/>
      <name val="Calisto MT"/>
      <family val="1"/>
    </font>
    <font>
      <b/>
      <sz val="10"/>
      <name val="Calisto MT"/>
      <family val="1"/>
    </font>
    <font>
      <sz val="10"/>
      <color rgb="FFE30028"/>
      <name val="Arial"/>
      <family val="2"/>
    </font>
    <font>
      <sz val="10"/>
      <color rgb="FF565655"/>
      <name val="Arial Bold"/>
      <family val="2"/>
    </font>
    <font>
      <sz val="10"/>
      <color rgb="FFE30028"/>
      <name val="Arial Bold"/>
      <family val="2"/>
    </font>
    <font>
      <sz val="10"/>
      <color rgb="FF94C01B"/>
      <name val="Arial"/>
      <family val="2"/>
    </font>
    <font>
      <sz val="10"/>
      <name val="Arial Bold"/>
      <family val="2"/>
    </font>
    <font>
      <sz val="10"/>
      <color rgb="FF94C01B"/>
      <name val="Arial Bold"/>
      <family val="2"/>
    </font>
    <font>
      <sz val="10"/>
      <color rgb="FF007198"/>
      <name val="Arial"/>
      <family val="2"/>
    </font>
    <font>
      <sz val="10"/>
      <color rgb="FF1C242C"/>
      <name val="Arial Bold"/>
      <family val="2"/>
    </font>
    <font>
      <sz val="10"/>
      <color rgb="FF007198"/>
      <name val="Arial Bold"/>
      <family val="2"/>
    </font>
    <font>
      <sz val="10"/>
      <color rgb="FF1C242C"/>
      <name val="Arial"/>
      <family val="2"/>
    </font>
    <font>
      <sz val="20"/>
      <name val="Arial"/>
      <family val="2"/>
    </font>
    <font>
      <sz val="9"/>
      <color rgb="FF0070C0"/>
      <name val="Arial"/>
      <family val="2"/>
    </font>
    <font>
      <sz val="9"/>
      <color rgb="FF92D050"/>
      <name val="Arial"/>
      <family val="2"/>
    </font>
    <font>
      <sz val="10"/>
      <color rgb="FF7030A0"/>
      <name val="Arial"/>
      <family val="2"/>
    </font>
    <font>
      <sz val="8"/>
      <color rgb="FF7030A0"/>
      <name val="Arial Bold"/>
      <family val="2"/>
    </font>
    <font>
      <sz val="9"/>
      <color rgb="FF7030A0"/>
      <name val="Arial"/>
      <family val="2"/>
    </font>
    <font>
      <sz val="10"/>
      <color rgb="FFFFC000"/>
      <name val="Arial"/>
      <family val="2"/>
    </font>
    <font>
      <sz val="8"/>
      <color rgb="FFFFC000"/>
      <name val="Arial Bold"/>
      <family val="2"/>
    </font>
    <font>
      <sz val="9"/>
      <color rgb="FFFFC000"/>
      <name val="Arial"/>
      <family val="2"/>
    </font>
    <font>
      <sz val="10"/>
      <color theme="2" tint="-0.749992370372631"/>
      <name val="Arial"/>
      <family val="2"/>
    </font>
    <font>
      <sz val="8"/>
      <color theme="2" tint="-0.749992370372631"/>
      <name val="Arial Bold"/>
      <family val="2"/>
    </font>
    <font>
      <sz val="9"/>
      <color theme="2" tint="-0.74999237037263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205">
    <xf numFmtId="0" fontId="0" fillId="0" borderId="0" xfId="0"/>
    <xf numFmtId="0" fontId="2" fillId="0" borderId="0" xfId="0" applyNumberFormat="1" applyFont="1"/>
    <xf numFmtId="0" fontId="3" fillId="0" borderId="0" xfId="0" applyNumberFormat="1" applyFont="1"/>
    <xf numFmtId="1" fontId="4" fillId="0" borderId="0" xfId="0" applyNumberFormat="1" applyFont="1"/>
    <xf numFmtId="1" fontId="3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3" fontId="7" fillId="0" borderId="0" xfId="0" applyNumberFormat="1" applyFont="1"/>
    <xf numFmtId="3" fontId="6" fillId="0" borderId="0" xfId="0" applyNumberFormat="1" applyFont="1"/>
    <xf numFmtId="0" fontId="7" fillId="0" borderId="0" xfId="0" applyNumberFormat="1" applyFont="1"/>
    <xf numFmtId="1" fontId="8" fillId="0" borderId="0" xfId="0" applyNumberFormat="1" applyFont="1"/>
    <xf numFmtId="2" fontId="7" fillId="0" borderId="0" xfId="0" applyNumberFormat="1" applyFont="1"/>
    <xf numFmtId="0" fontId="9" fillId="0" borderId="0" xfId="0" applyNumberFormat="1" applyFont="1"/>
    <xf numFmtId="0" fontId="10" fillId="0" borderId="0" xfId="0" applyNumberFormat="1" applyFont="1"/>
    <xf numFmtId="0" fontId="11" fillId="0" borderId="0" xfId="0" applyNumberFormat="1" applyFont="1"/>
    <xf numFmtId="3" fontId="10" fillId="0" borderId="0" xfId="0" applyNumberFormat="1" applyFont="1"/>
    <xf numFmtId="3" fontId="12" fillId="0" borderId="0" xfId="0" applyNumberFormat="1" applyFont="1"/>
    <xf numFmtId="1" fontId="13" fillId="0" borderId="0" xfId="0" applyNumberFormat="1" applyFont="1"/>
    <xf numFmtId="1" fontId="14" fillId="0" borderId="0" xfId="0" applyNumberFormat="1" applyFont="1"/>
    <xf numFmtId="0" fontId="13" fillId="0" borderId="0" xfId="0" applyNumberFormat="1" applyFont="1"/>
    <xf numFmtId="0" fontId="15" fillId="0" borderId="0" xfId="0" applyNumberFormat="1" applyFont="1"/>
    <xf numFmtId="0" fontId="16" fillId="0" borderId="0" xfId="0" applyNumberFormat="1" applyFont="1"/>
    <xf numFmtId="0" fontId="17" fillId="0" borderId="0" xfId="0" applyNumberFormat="1" applyFont="1"/>
    <xf numFmtId="2" fontId="12" fillId="0" borderId="0" xfId="0" applyNumberFormat="1" applyFont="1"/>
    <xf numFmtId="0" fontId="12" fillId="0" borderId="0" xfId="0" applyNumberFormat="1" applyFont="1"/>
    <xf numFmtId="0" fontId="18" fillId="0" borderId="0" xfId="0" applyNumberFormat="1" applyFont="1"/>
    <xf numFmtId="0" fontId="19" fillId="0" borderId="0" xfId="0" applyNumberFormat="1" applyFont="1"/>
    <xf numFmtId="3" fontId="18" fillId="0" borderId="0" xfId="0" applyNumberFormat="1" applyFont="1"/>
    <xf numFmtId="3" fontId="20" fillId="0" borderId="0" xfId="0" applyNumberFormat="1" applyFont="1"/>
    <xf numFmtId="0" fontId="20" fillId="0" borderId="0" xfId="0" applyNumberFormat="1" applyFont="1"/>
    <xf numFmtId="1" fontId="21" fillId="0" borderId="0" xfId="0" applyNumberFormat="1" applyFont="1"/>
    <xf numFmtId="1" fontId="22" fillId="0" borderId="0" xfId="0" applyNumberFormat="1" applyFont="1"/>
    <xf numFmtId="0" fontId="21" fillId="0" borderId="0" xfId="0" applyNumberFormat="1" applyFont="1"/>
    <xf numFmtId="0" fontId="23" fillId="0" borderId="0" xfId="0" applyNumberFormat="1" applyFont="1"/>
    <xf numFmtId="0" fontId="24" fillId="0" borderId="0" xfId="0" applyNumberFormat="1" applyFont="1"/>
    <xf numFmtId="2" fontId="20" fillId="0" borderId="0" xfId="0" applyNumberFormat="1" applyFont="1"/>
    <xf numFmtId="0" fontId="25" fillId="0" borderId="0" xfId="0" applyNumberFormat="1" applyFont="1"/>
    <xf numFmtId="0" fontId="26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" fontId="13" fillId="0" borderId="0" xfId="0" applyNumberFormat="1" applyFont="1" applyAlignment="1">
      <alignment horizontal="right"/>
    </xf>
    <xf numFmtId="0" fontId="13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13" fillId="0" borderId="0" xfId="0" applyNumberFormat="1" applyFont="1" applyAlignment="1">
      <alignment horizontal="left"/>
    </xf>
    <xf numFmtId="0" fontId="27" fillId="0" borderId="0" xfId="0" applyNumberFormat="1" applyFont="1" applyAlignment="1">
      <alignment horizontal="left"/>
    </xf>
    <xf numFmtId="3" fontId="27" fillId="0" borderId="0" xfId="0" applyNumberFormat="1" applyFont="1" applyAlignment="1">
      <alignment horizontal="right"/>
    </xf>
    <xf numFmtId="2" fontId="27" fillId="0" borderId="0" xfId="0" applyNumberFormat="1" applyFont="1" applyAlignment="1">
      <alignment horizontal="right"/>
    </xf>
    <xf numFmtId="0" fontId="27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4" fontId="27" fillId="0" borderId="0" xfId="0" applyNumberFormat="1" applyFont="1" applyAlignment="1">
      <alignment horizontal="right"/>
    </xf>
    <xf numFmtId="0" fontId="27" fillId="0" borderId="0" xfId="0" applyNumberFormat="1" applyFont="1"/>
    <xf numFmtId="0" fontId="28" fillId="0" borderId="0" xfId="0" applyNumberFormat="1" applyFont="1"/>
    <xf numFmtId="0" fontId="26" fillId="0" borderId="0" xfId="0" applyNumberFormat="1" applyFont="1"/>
    <xf numFmtId="0" fontId="0" fillId="0" borderId="0" xfId="0" applyBorder="1"/>
    <xf numFmtId="0" fontId="30" fillId="0" borderId="0" xfId="0" applyFont="1" applyFill="1"/>
    <xf numFmtId="0" fontId="30" fillId="0" borderId="0" xfId="0" applyFont="1" applyFill="1" applyBorder="1"/>
    <xf numFmtId="0" fontId="31" fillId="0" borderId="0" xfId="0" applyFont="1" applyFill="1" applyAlignment="1">
      <alignment horizontal="center"/>
    </xf>
    <xf numFmtId="0" fontId="31" fillId="0" borderId="0" xfId="0" applyFont="1" applyFill="1" applyBorder="1" applyAlignment="1">
      <alignment horizontal="center"/>
    </xf>
    <xf numFmtId="3" fontId="30" fillId="0" borderId="0" xfId="0" applyNumberFormat="1" applyFont="1" applyFill="1"/>
    <xf numFmtId="0" fontId="30" fillId="0" borderId="1" xfId="0" applyFont="1" applyFill="1" applyBorder="1"/>
    <xf numFmtId="0" fontId="31" fillId="2" borderId="1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3" fontId="30" fillId="2" borderId="0" xfId="0" applyNumberFormat="1" applyFont="1" applyFill="1"/>
    <xf numFmtId="0" fontId="31" fillId="3" borderId="8" xfId="0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2" fillId="0" borderId="0" xfId="0" applyNumberFormat="1" applyFont="1" applyFill="1"/>
    <xf numFmtId="0" fontId="0" fillId="0" borderId="0" xfId="0" applyFont="1" applyFill="1"/>
    <xf numFmtId="0" fontId="33" fillId="0" borderId="0" xfId="0" applyNumberFormat="1" applyFont="1" applyFill="1"/>
    <xf numFmtId="0" fontId="31" fillId="0" borderId="0" xfId="0" applyNumberFormat="1" applyFont="1" applyFill="1"/>
    <xf numFmtId="0" fontId="31" fillId="0" borderId="0" xfId="0" applyNumberFormat="1" applyFont="1" applyFill="1" applyAlignment="1">
      <alignment horizontal="center"/>
    </xf>
    <xf numFmtId="0" fontId="30" fillId="0" borderId="0" xfId="0" applyNumberFormat="1" applyFont="1" applyFill="1"/>
    <xf numFmtId="3" fontId="30" fillId="2" borderId="1" xfId="0" applyNumberFormat="1" applyFont="1" applyFill="1" applyBorder="1"/>
    <xf numFmtId="0" fontId="0" fillId="2" borderId="1" xfId="0" applyFont="1" applyFill="1" applyBorder="1"/>
    <xf numFmtId="3" fontId="30" fillId="0" borderId="0" xfId="0" applyNumberFormat="1" applyFont="1" applyFill="1" applyBorder="1"/>
    <xf numFmtId="0" fontId="0" fillId="0" borderId="0" xfId="0" applyFont="1" applyFill="1" applyBorder="1"/>
    <xf numFmtId="3" fontId="30" fillId="0" borderId="2" xfId="0" applyNumberFormat="1" applyFont="1" applyFill="1" applyBorder="1"/>
    <xf numFmtId="3" fontId="30" fillId="0" borderId="1" xfId="0" applyNumberFormat="1" applyFont="1" applyFill="1" applyBorder="1"/>
    <xf numFmtId="3" fontId="30" fillId="0" borderId="3" xfId="0" applyNumberFormat="1" applyFont="1" applyFill="1" applyBorder="1"/>
    <xf numFmtId="3" fontId="30" fillId="0" borderId="4" xfId="0" applyNumberFormat="1" applyFont="1" applyFill="1" applyBorder="1"/>
    <xf numFmtId="3" fontId="30" fillId="0" borderId="5" xfId="0" applyNumberFormat="1" applyFont="1" applyFill="1" applyBorder="1"/>
    <xf numFmtId="3" fontId="30" fillId="0" borderId="6" xfId="0" applyNumberFormat="1" applyFont="1" applyFill="1" applyBorder="1"/>
    <xf numFmtId="3" fontId="30" fillId="0" borderId="9" xfId="0" applyNumberFormat="1" applyFont="1" applyFill="1" applyBorder="1"/>
    <xf numFmtId="3" fontId="30" fillId="0" borderId="7" xfId="0" applyNumberFormat="1" applyFont="1" applyFill="1" applyBorder="1"/>
    <xf numFmtId="0" fontId="0" fillId="2" borderId="0" xfId="0" applyFont="1" applyFill="1"/>
    <xf numFmtId="3" fontId="30" fillId="3" borderId="8" xfId="0" applyNumberFormat="1" applyFont="1" applyFill="1" applyBorder="1"/>
    <xf numFmtId="3" fontId="30" fillId="3" borderId="0" xfId="0" applyNumberFormat="1" applyFont="1" applyFill="1"/>
    <xf numFmtId="0" fontId="0" fillId="3" borderId="8" xfId="0" applyFont="1" applyFill="1" applyBorder="1"/>
    <xf numFmtId="0" fontId="30" fillId="0" borderId="0" xfId="0" applyNumberFormat="1" applyFont="1" applyFill="1" applyBorder="1"/>
    <xf numFmtId="0" fontId="30" fillId="0" borderId="9" xfId="0" applyNumberFormat="1" applyFont="1" applyFill="1" applyBorder="1"/>
    <xf numFmtId="3" fontId="30" fillId="3" borderId="1" xfId="0" applyNumberFormat="1" applyFont="1" applyFill="1" applyBorder="1"/>
    <xf numFmtId="0" fontId="0" fillId="3" borderId="1" xfId="0" applyFont="1" applyFill="1" applyBorder="1"/>
    <xf numFmtId="0" fontId="0" fillId="0" borderId="1" xfId="0" applyFont="1" applyFill="1" applyBorder="1"/>
    <xf numFmtId="0" fontId="34" fillId="0" borderId="0" xfId="0" applyNumberFormat="1" applyFont="1" applyFill="1"/>
    <xf numFmtId="0" fontId="8" fillId="0" borderId="0" xfId="0" applyNumberFormat="1" applyFont="1" applyFill="1"/>
    <xf numFmtId="0" fontId="35" fillId="0" borderId="0" xfId="0" applyNumberFormat="1" applyFont="1" applyFill="1"/>
    <xf numFmtId="0" fontId="36" fillId="0" borderId="0" xfId="0" applyNumberFormat="1" applyFont="1" applyFill="1"/>
    <xf numFmtId="1" fontId="37" fillId="0" borderId="0" xfId="0" applyNumberFormat="1" applyFont="1" applyFill="1"/>
    <xf numFmtId="1" fontId="36" fillId="0" borderId="0" xfId="0" applyNumberFormat="1" applyFont="1" applyFill="1"/>
    <xf numFmtId="0" fontId="37" fillId="0" borderId="0" xfId="0" applyNumberFormat="1" applyFont="1" applyFill="1"/>
    <xf numFmtId="0" fontId="0" fillId="0" borderId="0" xfId="0" applyNumberFormat="1" applyFont="1" applyFill="1"/>
    <xf numFmtId="3" fontId="35" fillId="0" borderId="0" xfId="0" applyNumberFormat="1" applyFont="1" applyFill="1"/>
    <xf numFmtId="3" fontId="0" fillId="0" borderId="0" xfId="0" applyNumberFormat="1" applyFont="1" applyFill="1"/>
    <xf numFmtId="0" fontId="38" fillId="0" borderId="0" xfId="0" applyNumberFormat="1" applyFont="1" applyFill="1"/>
    <xf numFmtId="0" fontId="39" fillId="0" borderId="0" xfId="0" applyNumberFormat="1" applyFont="1" applyFill="1"/>
    <xf numFmtId="1" fontId="40" fillId="0" borderId="0" xfId="0" applyNumberFormat="1" applyFont="1" applyFill="1"/>
    <xf numFmtId="1" fontId="39" fillId="0" borderId="0" xfId="0" applyNumberFormat="1" applyFont="1" applyFill="1"/>
    <xf numFmtId="0" fontId="40" fillId="0" borderId="0" xfId="0" applyNumberFormat="1" applyFont="1" applyFill="1"/>
    <xf numFmtId="0" fontId="41" fillId="0" borderId="0" xfId="0" applyNumberFormat="1" applyFont="1" applyFill="1"/>
    <xf numFmtId="3" fontId="38" fillId="0" borderId="0" xfId="0" applyNumberFormat="1" applyFont="1" applyFill="1"/>
    <xf numFmtId="3" fontId="41" fillId="0" borderId="0" xfId="0" applyNumberFormat="1" applyFont="1" applyFill="1"/>
    <xf numFmtId="0" fontId="0" fillId="0" borderId="8" xfId="0" applyFont="1" applyFill="1" applyBorder="1"/>
    <xf numFmtId="0" fontId="30" fillId="0" borderId="1" xfId="0" applyNumberFormat="1" applyFont="1" applyFill="1" applyBorder="1"/>
    <xf numFmtId="9" fontId="30" fillId="0" borderId="0" xfId="1" applyFont="1" applyFill="1"/>
    <xf numFmtId="0" fontId="31" fillId="4" borderId="1" xfId="0" applyFont="1" applyFill="1" applyBorder="1" applyAlignment="1">
      <alignment horizontal="center"/>
    </xf>
    <xf numFmtId="3" fontId="30" fillId="4" borderId="1" xfId="0" applyNumberFormat="1" applyFont="1" applyFill="1" applyBorder="1"/>
    <xf numFmtId="9" fontId="30" fillId="4" borderId="0" xfId="1" applyFont="1" applyFill="1"/>
    <xf numFmtId="3" fontId="30" fillId="4" borderId="0" xfId="0" applyNumberFormat="1" applyFont="1" applyFill="1"/>
    <xf numFmtId="0" fontId="0" fillId="4" borderId="0" xfId="0" applyFill="1"/>
    <xf numFmtId="0" fontId="31" fillId="4" borderId="0" xfId="0" applyFont="1" applyFill="1" applyAlignment="1">
      <alignment horizontal="center"/>
    </xf>
    <xf numFmtId="9" fontId="31" fillId="2" borderId="1" xfId="1" applyFont="1" applyFill="1" applyBorder="1" applyAlignment="1">
      <alignment horizontal="center"/>
    </xf>
    <xf numFmtId="9" fontId="31" fillId="2" borderId="0" xfId="1" applyFont="1" applyFill="1" applyAlignment="1">
      <alignment horizontal="center"/>
    </xf>
    <xf numFmtId="9" fontId="31" fillId="0" borderId="0" xfId="1" applyFont="1" applyFill="1" applyAlignment="1">
      <alignment horizontal="center"/>
    </xf>
    <xf numFmtId="9" fontId="31" fillId="3" borderId="8" xfId="1" applyFont="1" applyFill="1" applyBorder="1" applyAlignment="1">
      <alignment horizontal="center"/>
    </xf>
    <xf numFmtId="9" fontId="31" fillId="3" borderId="1" xfId="1" applyFont="1" applyFill="1" applyBorder="1" applyAlignment="1">
      <alignment horizontal="center"/>
    </xf>
    <xf numFmtId="9" fontId="30" fillId="0" borderId="1" xfId="1" applyFont="1" applyFill="1" applyBorder="1"/>
    <xf numFmtId="9" fontId="0" fillId="0" borderId="0" xfId="1" applyFont="1"/>
    <xf numFmtId="10" fontId="30" fillId="0" borderId="0" xfId="1" applyNumberFormat="1" applyFont="1" applyFill="1"/>
    <xf numFmtId="10" fontId="0" fillId="0" borderId="0" xfId="1" applyNumberFormat="1" applyFont="1"/>
    <xf numFmtId="0" fontId="31" fillId="0" borderId="0" xfId="1" applyNumberFormat="1" applyFont="1" applyFill="1"/>
    <xf numFmtId="10" fontId="30" fillId="4" borderId="0" xfId="1" applyNumberFormat="1" applyFont="1" applyFill="1"/>
    <xf numFmtId="10" fontId="0" fillId="4" borderId="0" xfId="1" applyNumberFormat="1" applyFont="1" applyFill="1"/>
    <xf numFmtId="0" fontId="31" fillId="4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10" fontId="30" fillId="3" borderId="0" xfId="1" applyNumberFormat="1" applyFont="1" applyFill="1"/>
    <xf numFmtId="9" fontId="30" fillId="3" borderId="0" xfId="1" applyFont="1" applyFill="1"/>
    <xf numFmtId="10" fontId="0" fillId="3" borderId="0" xfId="1" applyNumberFormat="1" applyFont="1" applyFill="1"/>
    <xf numFmtId="0" fontId="0" fillId="3" borderId="0" xfId="0" applyFill="1"/>
    <xf numFmtId="0" fontId="30" fillId="0" borderId="0" xfId="1" applyNumberFormat="1" applyFont="1" applyFill="1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5" fillId="0" borderId="0" xfId="0" applyFont="1"/>
    <xf numFmtId="0" fontId="45" fillId="0" borderId="0" xfId="0" applyFont="1"/>
    <xf numFmtId="1" fontId="46" fillId="0" borderId="0" xfId="0" applyNumberFormat="1" applyFont="1"/>
    <xf numFmtId="3" fontId="47" fillId="0" borderId="0" xfId="0" applyNumberFormat="1" applyFont="1"/>
    <xf numFmtId="0" fontId="47" fillId="0" borderId="0" xfId="0" applyFont="1"/>
    <xf numFmtId="2" fontId="47" fillId="0" borderId="0" xfId="0" applyNumberFormat="1" applyFont="1"/>
    <xf numFmtId="0" fontId="48" fillId="0" borderId="0" xfId="0" applyFont="1"/>
    <xf numFmtId="2" fontId="50" fillId="0" borderId="0" xfId="0" applyNumberFormat="1" applyFont="1"/>
    <xf numFmtId="0" fontId="51" fillId="0" borderId="0" xfId="0" applyFont="1"/>
    <xf numFmtId="1" fontId="52" fillId="0" borderId="0" xfId="0" applyNumberFormat="1" applyFont="1"/>
    <xf numFmtId="2" fontId="53" fillId="0" borderId="0" xfId="0" applyNumberFormat="1" applyFont="1"/>
    <xf numFmtId="41" fontId="53" fillId="0" borderId="0" xfId="0" applyNumberFormat="1" applyFont="1"/>
    <xf numFmtId="41" fontId="51" fillId="0" borderId="0" xfId="0" applyNumberFormat="1" applyFont="1"/>
    <xf numFmtId="164" fontId="7" fillId="0" borderId="0" xfId="0" applyNumberFormat="1" applyFont="1"/>
    <xf numFmtId="164" fontId="47" fillId="0" borderId="0" xfId="0" applyNumberFormat="1" applyFont="1"/>
    <xf numFmtId="164" fontId="12" fillId="0" borderId="0" xfId="0" applyNumberFormat="1" applyFont="1"/>
    <xf numFmtId="164" fontId="50" fillId="0" borderId="0" xfId="0" applyNumberFormat="1" applyFont="1"/>
    <xf numFmtId="164" fontId="53" fillId="0" borderId="0" xfId="0" applyNumberFormat="1" applyFont="1"/>
    <xf numFmtId="164" fontId="0" fillId="0" borderId="0" xfId="0" applyNumberFormat="1"/>
    <xf numFmtId="164" fontId="45" fillId="0" borderId="0" xfId="0" applyNumberFormat="1" applyFont="1"/>
    <xf numFmtId="164" fontId="48" fillId="0" borderId="0" xfId="0" applyNumberFormat="1" applyFont="1"/>
    <xf numFmtId="164" fontId="51" fillId="0" borderId="0" xfId="0" applyNumberFormat="1" applyFont="1"/>
    <xf numFmtId="164" fontId="44" fillId="0" borderId="0" xfId="0" applyNumberFormat="1" applyFont="1"/>
    <xf numFmtId="164" fontId="4" fillId="0" borderId="0" xfId="0" applyNumberFormat="1" applyFont="1"/>
    <xf numFmtId="164" fontId="46" fillId="0" borderId="0" xfId="0" applyNumberFormat="1" applyFont="1"/>
    <xf numFmtId="164" fontId="14" fillId="0" borderId="0" xfId="0" applyNumberFormat="1" applyFont="1"/>
    <xf numFmtId="164" fontId="49" fillId="0" borderId="0" xfId="0" applyNumberFormat="1" applyFont="1"/>
    <xf numFmtId="164" fontId="21" fillId="0" borderId="0" xfId="0" applyNumberFormat="1" applyFont="1"/>
    <xf numFmtId="164" fontId="52" fillId="0" borderId="0" xfId="0" applyNumberFormat="1" applyFont="1"/>
    <xf numFmtId="164" fontId="20" fillId="0" borderId="0" xfId="0" applyNumberFormat="1" applyFont="1"/>
    <xf numFmtId="164" fontId="43" fillId="0" borderId="0" xfId="0" applyNumberFormat="1" applyFont="1"/>
    <xf numFmtId="0" fontId="0" fillId="0" borderId="0" xfId="0" applyFont="1"/>
    <xf numFmtId="0" fontId="36" fillId="0" borderId="0" xfId="0" applyFont="1"/>
    <xf numFmtId="1" fontId="36" fillId="0" borderId="0" xfId="0" applyNumberFormat="1" applyFont="1"/>
    <xf numFmtId="164" fontId="0" fillId="0" borderId="0" xfId="0" applyNumberFormat="1" applyFont="1"/>
    <xf numFmtId="2" fontId="0" fillId="0" borderId="0" xfId="0" applyNumberFormat="1" applyFont="1"/>
    <xf numFmtId="9" fontId="10" fillId="0" borderId="0" xfId="1" applyFont="1"/>
    <xf numFmtId="41" fontId="0" fillId="0" borderId="0" xfId="0" applyNumberFormat="1" applyFont="1"/>
    <xf numFmtId="9" fontId="45" fillId="0" borderId="0" xfId="1" applyFont="1"/>
    <xf numFmtId="9" fontId="48" fillId="0" borderId="0" xfId="1" applyFont="1"/>
    <xf numFmtId="0" fontId="36" fillId="0" borderId="0" xfId="0" applyNumberFormat="1" applyFont="1"/>
    <xf numFmtId="0" fontId="0" fillId="0" borderId="0" xfId="0" applyNumberFormat="1" applyFont="1"/>
    <xf numFmtId="9" fontId="13" fillId="0" borderId="0" xfId="1" applyFont="1"/>
    <xf numFmtId="165" fontId="0" fillId="0" borderId="0" xfId="1" applyNumberFormat="1" applyFont="1"/>
    <xf numFmtId="0" fontId="54" fillId="0" borderId="0" xfId="0" applyFont="1"/>
    <xf numFmtId="0" fontId="4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NumberFormat="1" applyFont="1"/>
    <xf numFmtId="0" fontId="46" fillId="0" borderId="0" xfId="0" applyNumberFormat="1" applyFont="1"/>
    <xf numFmtId="0" fontId="14" fillId="0" borderId="0" xfId="0" applyNumberFormat="1" applyFont="1"/>
    <xf numFmtId="0" fontId="49" fillId="0" borderId="0" xfId="0" applyNumberFormat="1" applyFont="1"/>
    <xf numFmtId="0" fontId="52" fillId="0" borderId="0" xfId="0" applyNumberFormat="1" applyFont="1"/>
    <xf numFmtId="0" fontId="5" fillId="5" borderId="0" xfId="0" applyFont="1" applyFill="1"/>
    <xf numFmtId="9" fontId="7" fillId="5" borderId="0" xfId="1" applyFont="1" applyFill="1"/>
    <xf numFmtId="0" fontId="0" fillId="5" borderId="0" xfId="0" applyFill="1"/>
    <xf numFmtId="0" fontId="6" fillId="5" borderId="0" xfId="0" applyFont="1" applyFill="1"/>
    <xf numFmtId="0" fontId="0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54" fillId="0" borderId="0" xfId="0" applyNumberFormat="1" applyFont="1" applyAlignment="1">
      <alignment horizontal="center"/>
    </xf>
    <xf numFmtId="0" fontId="5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- COGS = Gross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5.5665542932781538E-2"/>
          <c:y val="0.11777906464455225"/>
          <c:w val="0.80174293822750131"/>
          <c:h val="0.84729050367332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'is ha'!$A$36</c:f>
              <c:strCache>
                <c:ptCount val="1"/>
                <c:pt idx="0">
                  <c:v>Sales - 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'is ha'!$C$35:$I$35</c:f>
              <c:strCache>
                <c:ptCount val="4"/>
                <c:pt idx="0">
                  <c:v>2021-2020</c:v>
                </c:pt>
                <c:pt idx="1">
                  <c:v>2020-2019</c:v>
                </c:pt>
                <c:pt idx="2">
                  <c:v>2019-2018</c:v>
                </c:pt>
                <c:pt idx="3">
                  <c:v>2018-2017</c:v>
                </c:pt>
              </c:strCache>
            </c:strRef>
          </c:cat>
          <c:val>
            <c:numRef>
              <c:f>'is ha'!$C$36:$I$36</c:f>
              <c:numCache>
                <c:formatCode>0%</c:formatCode>
                <c:ptCount val="4"/>
                <c:pt idx="0">
                  <c:v>0.64701887717204898</c:v>
                </c:pt>
                <c:pt idx="1">
                  <c:v>-0.11428205904869292</c:v>
                </c:pt>
                <c:pt idx="2">
                  <c:v>0.38703802404523713</c:v>
                </c:pt>
                <c:pt idx="3">
                  <c:v>0.18204893213313328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E-4F47-9D1F-EFE3876ABFF8}"/>
            </c:ext>
          </c:extLst>
        </c:ser>
        <c:ser>
          <c:idx val="1"/>
          <c:order val="1"/>
          <c:tx>
            <c:strRef>
              <c:f>'is ha'!$A$37</c:f>
              <c:strCache>
                <c:ptCount val="1"/>
                <c:pt idx="0">
                  <c:v>Cost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'is ha'!$C$37:$I$37</c:f>
              <c:numCache>
                <c:formatCode>0%</c:formatCode>
                <c:ptCount val="4"/>
                <c:pt idx="0">
                  <c:v>0.55059855074917818</c:v>
                </c:pt>
                <c:pt idx="1">
                  <c:v>-0.10678904066730691</c:v>
                </c:pt>
                <c:pt idx="2">
                  <c:v>0.42239113884828905</c:v>
                </c:pt>
                <c:pt idx="3">
                  <c:v>0.15406608586781306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E-4F47-9D1F-EFE3876ABFF8}"/>
            </c:ext>
          </c:extLst>
        </c:ser>
        <c:ser>
          <c:idx val="2"/>
          <c:order val="2"/>
          <c:tx>
            <c:strRef>
              <c:f>'is ha'!$A$38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'is ha'!$C$38:$I$38</c:f>
              <c:numCache>
                <c:formatCode>0%</c:formatCode>
                <c:ptCount val="4"/>
                <c:pt idx="0">
                  <c:v>1.5564468372879638</c:v>
                </c:pt>
                <c:pt idx="1">
                  <c:v>-0.17922425556810989</c:v>
                </c:pt>
                <c:pt idx="2">
                  <c:v>0.14120394593732938</c:v>
                </c:pt>
                <c:pt idx="3">
                  <c:v>0.42176917170037498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4E-4F47-9D1F-EFE3876AB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555327"/>
        <c:axId val="1707550751"/>
      </c:barChart>
      <c:catAx>
        <c:axId val="170755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t" anchorCtr="0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07550751"/>
        <c:crosses val="autoZero"/>
        <c:auto val="1"/>
        <c:lblAlgn val="ctr"/>
        <c:lblOffset val="100"/>
        <c:noMultiLvlLbl val="0"/>
      </c:catAx>
      <c:valAx>
        <c:axId val="170755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0755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07586745885113"/>
          <c:y val="0.46104394233303281"/>
          <c:w val="0.12292413254114891"/>
          <c:h val="0.24967432435743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'BS Ha'!$A$20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'BS Ha'!$C$2:$I$2</c:f>
              <c:strCache>
                <c:ptCount val="4"/>
                <c:pt idx="0">
                  <c:v>2021-2020</c:v>
                </c:pt>
                <c:pt idx="1">
                  <c:v>2020-2019</c:v>
                </c:pt>
                <c:pt idx="2">
                  <c:v>2019-2018</c:v>
                </c:pt>
                <c:pt idx="3">
                  <c:v>2018-2017</c:v>
                </c:pt>
              </c:strCache>
            </c:strRef>
          </c:cat>
          <c:val>
            <c:numRef>
              <c:f>'BS Ha'!$C$20:$J$20</c:f>
              <c:numCache>
                <c:formatCode>0%</c:formatCode>
                <c:ptCount val="4"/>
                <c:pt idx="0">
                  <c:v>0.65858576779464195</c:v>
                </c:pt>
                <c:pt idx="1">
                  <c:v>0.11611356441120239</c:v>
                </c:pt>
                <c:pt idx="2">
                  <c:v>0.2590092723426467</c:v>
                </c:pt>
                <c:pt idx="3">
                  <c:v>-5.265472750413587E-2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C-48CD-9198-DE735BF98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8139279"/>
        <c:axId val="1818142191"/>
      </c:lineChart>
      <c:catAx>
        <c:axId val="1818139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8142191"/>
        <c:crosses val="autoZero"/>
        <c:auto val="1"/>
        <c:lblAlgn val="ctr"/>
        <c:lblOffset val="100"/>
        <c:noMultiLvlLbl val="0"/>
      </c:catAx>
      <c:valAx>
        <c:axId val="181814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181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Assets as a % of Total Assets (2021)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'BS Va'!$A$12</c:f>
              <c:strCache>
                <c:ptCount val="1"/>
                <c:pt idx="0">
                  <c:v>CURRENT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710-47FD-AE33-89A79230C50C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10-47FD-AE33-89A79230C50C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10-47FD-AE33-89A79230C50C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710-47FD-AE33-89A79230C50C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710-47FD-AE33-89A79230C50C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10-47FD-AE33-89A79230C50C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710-47FD-AE33-89A79230C50C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710-47FD-AE33-89A79230C50C}"/>
                </c:ext>
              </c:extLst>
            </c:dLbl>
            <c:dLbl>
              <c:idx val="2"/>
              <c:layout>
                <c:manualLayout>
                  <c:x val="-2.1043090086180202E-2"/>
                  <c:y val="-4.2799505257338333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10-47FD-AE33-89A79230C50C}"/>
                </c:ext>
              </c:extLst>
            </c:dLbl>
            <c:dLbl>
              <c:idx val="3"/>
              <c:layout>
                <c:manualLayout>
                  <c:x val="-1.0649141298282596E-3"/>
                  <c:y val="-0.14871178370035781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10-47FD-AE33-89A79230C50C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710-47FD-AE33-89A79230C50C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PK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710-47FD-AE33-89A79230C50C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'BS Va'!$A$13:$A$18</c:f>
              <c:strCache>
                <c:ptCount val="6"/>
                <c:pt idx="0">
                  <c:v>Inventories</c:v>
                </c:pt>
                <c:pt idx="1">
                  <c:v>Trade debts</c:v>
                </c:pt>
                <c:pt idx="2">
                  <c:v>Loans and advances</c:v>
                </c:pt>
                <c:pt idx="3">
                  <c:v>Deposits, prepayments and other receivables</c:v>
                </c:pt>
                <c:pt idx="4">
                  <c:v>Due from the government</c:v>
                </c:pt>
                <c:pt idx="5">
                  <c:v>Cash and bank balances</c:v>
                </c:pt>
              </c:strCache>
            </c:strRef>
          </c:cat>
          <c:val>
            <c:numRef>
              <c:f>'BS Va'!$C$13:$C$18</c:f>
              <c:numCache>
                <c:formatCode>0.00%</c:formatCode>
                <c:ptCount val="6"/>
                <c:pt idx="0">
                  <c:v>0.35569251620040693</c:v>
                </c:pt>
                <c:pt idx="1">
                  <c:v>0.12581706320059213</c:v>
                </c:pt>
                <c:pt idx="2">
                  <c:v>3.2438880243771204E-3</c:v>
                </c:pt>
                <c:pt idx="3">
                  <c:v>2.2299224136241545E-2</c:v>
                </c:pt>
                <c:pt idx="4">
                  <c:v>6.0506222524101726E-2</c:v>
                </c:pt>
                <c:pt idx="5">
                  <c:v>5.303682805039419E-2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0-47FD-AE33-89A79230C50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621925</xdr:colOff>
      <xdr:row>26</xdr:row>
      <xdr:rowOff>113180</xdr:rowOff>
    </xdr:from>
    <xdr:to>
      <xdr:col>24</xdr:col>
      <xdr:colOff>168088</xdr:colOff>
      <xdr:row>49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DD32D-71AE-4818-8636-4EAB4042B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125393</xdr:colOff>
      <xdr:row>4</xdr:row>
      <xdr:rowOff>55945</xdr:rowOff>
    </xdr:from>
    <xdr:to>
      <xdr:col>19</xdr:col>
      <xdr:colOff>443697</xdr:colOff>
      <xdr:row>21</xdr:row>
      <xdr:rowOff>11575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D1635-96DC-4A25-A3CB-C578EE8DC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31750</xdr:colOff>
      <xdr:row>12</xdr:row>
      <xdr:rowOff>104775</xdr:rowOff>
    </xdr:from>
    <xdr:to>
      <xdr:col>28</xdr:col>
      <xdr:colOff>116416</xdr:colOff>
      <xdr:row>42</xdr:row>
      <xdr:rowOff>42333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4295D-52B6-4F98-BE5D-AB008EFD7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I160"/>
  <sheetViews>
    <sheetView zoomScale="96" zoomScaleNormal="96" workbookViewId="0">
      <selection activeCell="B17" sqref="B17"/>
    </sheetView>
  </sheetViews>
  <sheetFormatPr defaultRowHeight="13.2" x14ac:dyDescent="0.25"/>
  <cols>
    <col min="1" max="1" width="50.21875" style="68" customWidth="1"/>
    <col min="2" max="2" width="26.109375" style="68" bestFit="1" customWidth="1"/>
    <col min="3" max="3" width="15.109375" style="68" bestFit="1" customWidth="1"/>
    <col min="4" max="6" width="13.77734375" style="68" bestFit="1" customWidth="1"/>
    <col min="7" max="16384" width="8.88671875" style="68"/>
  </cols>
  <sheetData>
    <row r="3" spans="1:87" x14ac:dyDescent="0.25">
      <c r="A3" s="67"/>
    </row>
    <row r="4" spans="1:87" x14ac:dyDescent="0.25">
      <c r="A4" s="69"/>
    </row>
    <row r="6" spans="1:87" x14ac:dyDescent="0.25">
      <c r="A6" s="69"/>
      <c r="B6" s="70">
        <v>2021</v>
      </c>
      <c r="C6" s="70">
        <v>2020</v>
      </c>
      <c r="D6" s="70">
        <v>2019</v>
      </c>
      <c r="E6" s="70">
        <v>2018</v>
      </c>
      <c r="F6" s="70">
        <v>2017</v>
      </c>
    </row>
    <row r="7" spans="1:87" x14ac:dyDescent="0.25">
      <c r="A7" s="71" t="s">
        <v>1</v>
      </c>
      <c r="B7" s="56"/>
      <c r="C7" s="56"/>
      <c r="D7" s="56"/>
      <c r="E7" s="56"/>
      <c r="F7" s="56"/>
    </row>
    <row r="8" spans="1:87" x14ac:dyDescent="0.25">
      <c r="A8" s="71" t="s">
        <v>2</v>
      </c>
      <c r="B8" s="56"/>
      <c r="C8" s="56"/>
      <c r="D8" s="56"/>
      <c r="E8" s="56"/>
      <c r="F8" s="56"/>
    </row>
    <row r="9" spans="1:87" x14ac:dyDescent="0.25">
      <c r="A9" s="72" t="s">
        <v>3</v>
      </c>
      <c r="B9" s="60">
        <v>15799442920</v>
      </c>
      <c r="C9" s="60">
        <v>9918014133</v>
      </c>
      <c r="D9" s="60">
        <v>8584311799</v>
      </c>
      <c r="E9" s="60">
        <v>6304748282</v>
      </c>
      <c r="F9" s="60">
        <v>4250865732</v>
      </c>
    </row>
    <row r="10" spans="1:87" x14ac:dyDescent="0.25">
      <c r="A10" s="72" t="s">
        <v>4</v>
      </c>
      <c r="B10" s="60">
        <v>3608274</v>
      </c>
      <c r="C10" s="60">
        <v>6494897</v>
      </c>
      <c r="D10" s="60">
        <v>9381520</v>
      </c>
      <c r="E10" s="60">
        <v>12268143</v>
      </c>
      <c r="F10" s="72" t="s">
        <v>19</v>
      </c>
    </row>
    <row r="11" spans="1:87" x14ac:dyDescent="0.25">
      <c r="A11" s="72" t="s">
        <v>5</v>
      </c>
      <c r="B11" s="60">
        <v>36127968</v>
      </c>
      <c r="C11" s="60">
        <v>21551435</v>
      </c>
      <c r="D11" s="60">
        <v>12704229</v>
      </c>
      <c r="E11" s="60">
        <v>6570659</v>
      </c>
      <c r="F11" s="60">
        <v>5640118</v>
      </c>
    </row>
    <row r="12" spans="1:87" x14ac:dyDescent="0.25">
      <c r="A12" s="72" t="s">
        <v>6</v>
      </c>
      <c r="B12" s="60">
        <v>19845317</v>
      </c>
      <c r="C12" s="60">
        <v>19745317</v>
      </c>
      <c r="D12" s="60">
        <v>21430317</v>
      </c>
      <c r="E12" s="60">
        <v>20845317</v>
      </c>
      <c r="F12" s="60">
        <v>18258313</v>
      </c>
    </row>
    <row r="13" spans="1:87" x14ac:dyDescent="0.25">
      <c r="A13" s="72"/>
      <c r="B13" s="60"/>
      <c r="C13" s="60"/>
      <c r="D13" s="60"/>
      <c r="E13" s="60"/>
      <c r="F13" s="60"/>
    </row>
    <row r="14" spans="1:87" s="74" customFormat="1" x14ac:dyDescent="0.25">
      <c r="A14" s="62" t="s">
        <v>192</v>
      </c>
      <c r="B14" s="73">
        <v>15859024479</v>
      </c>
      <c r="C14" s="73">
        <v>9965805782</v>
      </c>
      <c r="D14" s="73">
        <v>8627827865</v>
      </c>
      <c r="E14" s="73">
        <v>6344432401</v>
      </c>
      <c r="F14" s="64">
        <v>4274764163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</row>
    <row r="15" spans="1:87" s="76" customFormat="1" x14ac:dyDescent="0.25">
      <c r="A15" s="57"/>
      <c r="B15" s="75"/>
      <c r="C15" s="75"/>
      <c r="D15" s="75"/>
      <c r="E15" s="75"/>
      <c r="F15" s="60"/>
    </row>
    <row r="16" spans="1:87" x14ac:dyDescent="0.25">
      <c r="A16" s="71" t="s">
        <v>7</v>
      </c>
      <c r="B16" s="56"/>
      <c r="C16" s="56"/>
      <c r="D16" s="56"/>
      <c r="E16" s="56"/>
      <c r="F16" s="5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</row>
    <row r="17" spans="1:87" x14ac:dyDescent="0.25">
      <c r="A17" s="72" t="s">
        <v>8</v>
      </c>
      <c r="B17" s="77">
        <v>14867878271</v>
      </c>
      <c r="C17" s="78">
        <v>8120223635</v>
      </c>
      <c r="D17" s="78">
        <v>5620331302</v>
      </c>
      <c r="E17" s="79">
        <v>5916918189</v>
      </c>
      <c r="F17" s="77">
        <v>5381802193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</row>
    <row r="18" spans="1:87" x14ac:dyDescent="0.25">
      <c r="A18" s="72" t="s">
        <v>9</v>
      </c>
      <c r="B18" s="80">
        <v>5259128868</v>
      </c>
      <c r="C18" s="75">
        <v>2182004268</v>
      </c>
      <c r="D18" s="75">
        <v>3304003346</v>
      </c>
      <c r="E18" s="81">
        <v>1263279786</v>
      </c>
      <c r="F18" s="80">
        <v>1347038735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</row>
    <row r="19" spans="1:87" x14ac:dyDescent="0.25">
      <c r="A19" s="72" t="s">
        <v>10</v>
      </c>
      <c r="B19" s="80">
        <v>135593891</v>
      </c>
      <c r="C19" s="75">
        <v>280203250</v>
      </c>
      <c r="D19" s="75">
        <v>373905875</v>
      </c>
      <c r="E19" s="81">
        <v>373907586</v>
      </c>
      <c r="F19" s="80">
        <v>289764961</v>
      </c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</row>
    <row r="20" spans="1:87" x14ac:dyDescent="0.25">
      <c r="A20" s="72" t="s">
        <v>11</v>
      </c>
      <c r="B20" s="80">
        <v>932103249</v>
      </c>
      <c r="C20" s="75">
        <v>54867473</v>
      </c>
      <c r="D20" s="75">
        <v>52957817</v>
      </c>
      <c r="E20" s="81">
        <v>26945193</v>
      </c>
      <c r="F20" s="80">
        <v>57838052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</row>
    <row r="21" spans="1:87" x14ac:dyDescent="0.25">
      <c r="A21" s="72" t="s">
        <v>12</v>
      </c>
      <c r="B21" s="80">
        <v>2529148380</v>
      </c>
      <c r="C21" s="75">
        <v>2626213020</v>
      </c>
      <c r="D21" s="75">
        <v>1460233079</v>
      </c>
      <c r="E21" s="81">
        <v>2298101893</v>
      </c>
      <c r="F21" s="80">
        <v>1870882567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</row>
    <row r="22" spans="1:87" x14ac:dyDescent="0.25">
      <c r="A22" s="72" t="s">
        <v>13</v>
      </c>
      <c r="B22" s="82">
        <v>2216929138</v>
      </c>
      <c r="C22" s="83">
        <v>2376790050</v>
      </c>
      <c r="D22" s="83">
        <v>3201749851</v>
      </c>
      <c r="E22" s="84">
        <v>1251171472</v>
      </c>
      <c r="F22" s="82">
        <v>2338891995</v>
      </c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</row>
    <row r="23" spans="1:87" x14ac:dyDescent="0.25">
      <c r="A23" s="72"/>
      <c r="B23" s="75"/>
      <c r="C23" s="75"/>
      <c r="D23" s="75"/>
      <c r="E23" s="75"/>
      <c r="F23" s="75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</row>
    <row r="24" spans="1:87" s="85" customFormat="1" x14ac:dyDescent="0.25">
      <c r="A24" s="63" t="s">
        <v>138</v>
      </c>
      <c r="B24" s="64">
        <v>25940781797</v>
      </c>
      <c r="C24" s="64">
        <v>15640301696</v>
      </c>
      <c r="D24" s="64">
        <v>14013181270</v>
      </c>
      <c r="E24" s="64">
        <v>11130324119</v>
      </c>
      <c r="F24" s="64">
        <v>11748962540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</row>
    <row r="25" spans="1:87" x14ac:dyDescent="0.25">
      <c r="A25" s="58"/>
      <c r="B25" s="60"/>
      <c r="C25" s="60"/>
      <c r="D25" s="60"/>
      <c r="E25" s="60"/>
      <c r="F25" s="60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</row>
    <row r="26" spans="1:87" s="88" customFormat="1" x14ac:dyDescent="0.25">
      <c r="A26" s="65" t="s">
        <v>191</v>
      </c>
      <c r="B26" s="86">
        <v>41799806276</v>
      </c>
      <c r="C26" s="86">
        <v>25606107478</v>
      </c>
      <c r="D26" s="86">
        <v>22641009135</v>
      </c>
      <c r="E26" s="86">
        <v>17474756520</v>
      </c>
      <c r="F26" s="87">
        <v>16023726703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</row>
    <row r="27" spans="1:87" s="76" customFormat="1" x14ac:dyDescent="0.25">
      <c r="A27" s="59"/>
      <c r="B27" s="75"/>
      <c r="C27" s="75"/>
      <c r="D27" s="75"/>
      <c r="E27" s="75"/>
      <c r="F27" s="60"/>
    </row>
    <row r="28" spans="1:87" x14ac:dyDescent="0.25">
      <c r="A28" s="71" t="s">
        <v>14</v>
      </c>
      <c r="B28" s="56"/>
      <c r="C28" s="56"/>
      <c r="D28" s="56"/>
      <c r="E28" s="56"/>
      <c r="F28" s="5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</row>
    <row r="29" spans="1:87" x14ac:dyDescent="0.25">
      <c r="A29" s="71" t="s">
        <v>15</v>
      </c>
      <c r="B29" s="56"/>
      <c r="C29" s="56"/>
      <c r="D29" s="56"/>
      <c r="E29" s="56"/>
      <c r="F29" s="5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</row>
    <row r="30" spans="1:87" x14ac:dyDescent="0.25">
      <c r="A30" s="72" t="s">
        <v>16</v>
      </c>
      <c r="B30" s="60">
        <v>5000000000</v>
      </c>
      <c r="C30" s="60">
        <v>3000000000</v>
      </c>
      <c r="D30" s="60">
        <v>3000000000</v>
      </c>
      <c r="E30" s="60">
        <v>3000000000</v>
      </c>
      <c r="F30" s="60">
        <v>3000000000</v>
      </c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</row>
    <row r="31" spans="1:87" x14ac:dyDescent="0.25">
      <c r="A31" s="72" t="s">
        <v>17</v>
      </c>
      <c r="B31" s="60">
        <v>2918555940</v>
      </c>
      <c r="C31" s="60">
        <v>2515996500</v>
      </c>
      <c r="D31" s="60">
        <v>2515996500</v>
      </c>
      <c r="E31" s="60">
        <v>2515996500</v>
      </c>
      <c r="F31" s="60">
        <v>2515996500</v>
      </c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</row>
    <row r="32" spans="1:87" x14ac:dyDescent="0.25">
      <c r="A32" s="72" t="s">
        <v>18</v>
      </c>
      <c r="B32" s="60">
        <v>7144980314</v>
      </c>
      <c r="C32" s="60">
        <v>1419413456</v>
      </c>
      <c r="D32" s="60">
        <v>4822104763</v>
      </c>
      <c r="E32" s="60">
        <v>4026299038</v>
      </c>
      <c r="F32" s="60">
        <v>2897064570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</row>
    <row r="33" spans="1:87" x14ac:dyDescent="0.25">
      <c r="A33" s="72" t="s">
        <v>20</v>
      </c>
      <c r="B33" s="72" t="s">
        <v>21</v>
      </c>
      <c r="C33" s="60">
        <v>500000000</v>
      </c>
      <c r="D33" s="60">
        <v>165832548</v>
      </c>
      <c r="E33" s="60">
        <v>924037217</v>
      </c>
      <c r="F33" s="60">
        <v>1224037217</v>
      </c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</row>
    <row r="34" spans="1:87" x14ac:dyDescent="0.25">
      <c r="A34" s="72"/>
      <c r="B34" s="72"/>
      <c r="C34" s="60"/>
      <c r="D34" s="60"/>
      <c r="E34" s="60"/>
      <c r="F34" s="60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</row>
    <row r="35" spans="1:87" s="74" customFormat="1" x14ac:dyDescent="0.25">
      <c r="A35" s="63" t="s">
        <v>190</v>
      </c>
      <c r="B35" s="73">
        <v>16504859579</v>
      </c>
      <c r="C35" s="73">
        <v>8157573576</v>
      </c>
      <c r="D35" s="73">
        <v>7503933811</v>
      </c>
      <c r="E35" s="73">
        <v>7466332755</v>
      </c>
      <c r="F35" s="64">
        <v>6637098287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</row>
    <row r="36" spans="1:87" s="76" customFormat="1" x14ac:dyDescent="0.25">
      <c r="A36" s="57"/>
      <c r="B36" s="75"/>
      <c r="C36" s="75"/>
      <c r="D36" s="75"/>
      <c r="E36" s="75"/>
      <c r="F36" s="60"/>
    </row>
    <row r="37" spans="1:87" x14ac:dyDescent="0.25">
      <c r="A37" s="71" t="s">
        <v>22</v>
      </c>
      <c r="B37" s="56"/>
      <c r="C37" s="56"/>
      <c r="D37" s="56"/>
      <c r="E37" s="56"/>
      <c r="F37" s="5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</row>
    <row r="38" spans="1:87" x14ac:dyDescent="0.25">
      <c r="A38" s="72"/>
      <c r="B38" s="56"/>
      <c r="C38" s="56"/>
      <c r="D38" s="56"/>
      <c r="E38" s="56"/>
      <c r="F38" s="5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</row>
    <row r="39" spans="1:87" x14ac:dyDescent="0.25">
      <c r="A39" s="71" t="s">
        <v>23</v>
      </c>
      <c r="B39" s="56"/>
      <c r="C39" s="56"/>
      <c r="D39" s="56"/>
      <c r="E39" s="56"/>
      <c r="F39" s="5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</row>
    <row r="40" spans="1:87" x14ac:dyDescent="0.25">
      <c r="A40" s="72" t="s">
        <v>24</v>
      </c>
      <c r="B40" s="77">
        <v>3911162767</v>
      </c>
      <c r="C40" s="78">
        <v>2644088758</v>
      </c>
      <c r="D40" s="78">
        <v>2808581748</v>
      </c>
      <c r="E40" s="78">
        <v>829000000</v>
      </c>
      <c r="F40" s="113" t="s">
        <v>19</v>
      </c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</row>
    <row r="41" spans="1:87" x14ac:dyDescent="0.25">
      <c r="A41" s="72" t="s">
        <v>25</v>
      </c>
      <c r="B41" s="80">
        <v>2051365715</v>
      </c>
      <c r="C41" s="75">
        <v>490052917</v>
      </c>
      <c r="D41" s="75">
        <v>720725124</v>
      </c>
      <c r="E41" s="75">
        <v>601373754</v>
      </c>
      <c r="F41" s="57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</row>
    <row r="42" spans="1:87" x14ac:dyDescent="0.25">
      <c r="A42" s="72" t="s">
        <v>26</v>
      </c>
      <c r="B42" s="80">
        <v>357573653</v>
      </c>
      <c r="C42" s="75">
        <v>250575305</v>
      </c>
      <c r="D42" s="75">
        <v>218601201</v>
      </c>
      <c r="E42" s="75">
        <v>150775595</v>
      </c>
      <c r="F42" s="57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</row>
    <row r="43" spans="1:87" x14ac:dyDescent="0.25">
      <c r="A43" s="72" t="s">
        <v>27</v>
      </c>
      <c r="B43" s="82">
        <v>84886817</v>
      </c>
      <c r="C43" s="83">
        <v>54742656</v>
      </c>
      <c r="D43" s="83">
        <v>33348645</v>
      </c>
      <c r="E43" s="83">
        <v>18807150</v>
      </c>
      <c r="F43" s="83">
        <v>643052537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</row>
    <row r="44" spans="1:87" x14ac:dyDescent="0.25">
      <c r="A44" s="72"/>
      <c r="B44" s="75"/>
      <c r="C44" s="75"/>
      <c r="D44" s="75"/>
      <c r="E44" s="75"/>
      <c r="F44" s="75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</row>
    <row r="45" spans="1:87" s="85" customFormat="1" x14ac:dyDescent="0.25">
      <c r="A45" s="63" t="s">
        <v>189</v>
      </c>
      <c r="B45" s="64">
        <v>6404988952</v>
      </c>
      <c r="C45" s="64">
        <v>3439459636</v>
      </c>
      <c r="D45" s="64">
        <v>3781256718</v>
      </c>
      <c r="E45" s="64">
        <v>1599956499</v>
      </c>
      <c r="F45" s="64">
        <v>643052537</v>
      </c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</row>
    <row r="46" spans="1:87" x14ac:dyDescent="0.25">
      <c r="A46" s="56"/>
      <c r="B46" s="60"/>
      <c r="C46" s="60"/>
      <c r="D46" s="60"/>
      <c r="E46" s="60"/>
      <c r="F46" s="60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</row>
    <row r="47" spans="1:87" x14ac:dyDescent="0.25">
      <c r="A47" s="71" t="s">
        <v>28</v>
      </c>
      <c r="B47" s="56"/>
      <c r="C47" s="56"/>
      <c r="D47" s="56"/>
      <c r="E47" s="56"/>
      <c r="F47" s="5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</row>
    <row r="48" spans="1:87" x14ac:dyDescent="0.25">
      <c r="A48" s="72" t="s">
        <v>29</v>
      </c>
      <c r="B48" s="77">
        <v>1732056016</v>
      </c>
      <c r="C48" s="78">
        <v>1191426866</v>
      </c>
      <c r="D48" s="78">
        <v>496003486</v>
      </c>
      <c r="E48" s="78">
        <v>463465446</v>
      </c>
      <c r="F48" s="78">
        <v>615104317</v>
      </c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</row>
    <row r="49" spans="1:87" x14ac:dyDescent="0.25">
      <c r="A49" s="72" t="s">
        <v>30</v>
      </c>
      <c r="B49" s="80">
        <v>2982204</v>
      </c>
      <c r="C49" s="75">
        <v>2992760</v>
      </c>
      <c r="D49" s="75">
        <v>3037587</v>
      </c>
      <c r="E49" s="75">
        <v>3303075</v>
      </c>
      <c r="F49" s="75">
        <v>16127596</v>
      </c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</row>
    <row r="50" spans="1:87" x14ac:dyDescent="0.25">
      <c r="A50" s="72" t="s">
        <v>31</v>
      </c>
      <c r="B50" s="80">
        <v>5675118</v>
      </c>
      <c r="C50" s="75">
        <v>3318962</v>
      </c>
      <c r="D50" s="75">
        <v>2624330</v>
      </c>
      <c r="E50" s="89" t="s">
        <v>19</v>
      </c>
      <c r="F50" s="57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</row>
    <row r="51" spans="1:87" x14ac:dyDescent="0.25">
      <c r="A51" s="72" t="s">
        <v>32</v>
      </c>
      <c r="B51" s="80">
        <v>251457149</v>
      </c>
      <c r="C51" s="75">
        <v>355511559</v>
      </c>
      <c r="D51" s="75">
        <v>321147389</v>
      </c>
      <c r="E51" s="75">
        <v>101322923</v>
      </c>
      <c r="F51" s="75">
        <v>66546870</v>
      </c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</row>
    <row r="52" spans="1:87" x14ac:dyDescent="0.25">
      <c r="A52" s="72" t="s">
        <v>33</v>
      </c>
      <c r="B52" s="80">
        <v>16107717529</v>
      </c>
      <c r="C52" s="75">
        <v>11584153072</v>
      </c>
      <c r="D52" s="75">
        <v>9171452321</v>
      </c>
      <c r="E52" s="75">
        <v>7540375822</v>
      </c>
      <c r="F52" s="75">
        <v>7977002224</v>
      </c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</row>
    <row r="53" spans="1:87" x14ac:dyDescent="0.25">
      <c r="A53" s="72" t="s">
        <v>34</v>
      </c>
      <c r="B53" s="80">
        <v>3193514</v>
      </c>
      <c r="C53" s="75">
        <v>54722832</v>
      </c>
      <c r="D53" s="75">
        <v>830180982</v>
      </c>
      <c r="E53" s="75">
        <v>300000000</v>
      </c>
      <c r="F53" s="75">
        <v>37082301</v>
      </c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</row>
    <row r="54" spans="1:87" x14ac:dyDescent="0.25">
      <c r="A54" s="72" t="s">
        <v>35</v>
      </c>
      <c r="B54" s="80">
        <v>765722598</v>
      </c>
      <c r="C54" s="75">
        <v>816948215</v>
      </c>
      <c r="D54" s="75">
        <v>531372511</v>
      </c>
      <c r="E54" s="89" t="s">
        <v>19</v>
      </c>
      <c r="F54" s="75">
        <v>31712571</v>
      </c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</row>
    <row r="55" spans="1:87" x14ac:dyDescent="0.25">
      <c r="A55" s="72" t="s">
        <v>36</v>
      </c>
      <c r="B55" s="82">
        <v>21153617</v>
      </c>
      <c r="C55" s="90" t="s">
        <v>37</v>
      </c>
      <c r="D55" s="56"/>
      <c r="E55" s="56"/>
      <c r="F55" s="5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</row>
    <row r="56" spans="1:87" x14ac:dyDescent="0.25">
      <c r="A56" s="72"/>
      <c r="B56" s="75"/>
      <c r="C56" s="89"/>
      <c r="D56" s="56"/>
      <c r="E56" s="56"/>
      <c r="F56" s="5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</row>
    <row r="57" spans="1:87" s="85" customFormat="1" x14ac:dyDescent="0.25">
      <c r="A57" s="63" t="s">
        <v>128</v>
      </c>
      <c r="B57" s="64">
        <v>18889957745</v>
      </c>
      <c r="C57" s="64">
        <v>14009074266</v>
      </c>
      <c r="D57" s="64">
        <v>11355818606</v>
      </c>
      <c r="E57" s="64">
        <v>8408467266</v>
      </c>
      <c r="F57" s="64">
        <v>8743575879</v>
      </c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</row>
    <row r="58" spans="1:87" x14ac:dyDescent="0.25">
      <c r="A58" s="56"/>
      <c r="B58" s="60"/>
      <c r="C58" s="60"/>
      <c r="D58" s="60"/>
      <c r="E58" s="60"/>
      <c r="F58" s="60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</row>
    <row r="59" spans="1:87" s="92" customFormat="1" x14ac:dyDescent="0.25">
      <c r="A59" s="66" t="s">
        <v>187</v>
      </c>
      <c r="B59" s="91">
        <v>25294946697</v>
      </c>
      <c r="C59" s="91">
        <v>17448533902</v>
      </c>
      <c r="D59" s="91">
        <v>15137075324</v>
      </c>
      <c r="E59" s="91">
        <v>10008423765</v>
      </c>
      <c r="F59" s="87">
        <v>9386628416</v>
      </c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  <c r="CI59" s="93"/>
    </row>
    <row r="60" spans="1:87" s="93" customFormat="1" x14ac:dyDescent="0.25">
      <c r="A60" s="61"/>
      <c r="B60" s="78"/>
      <c r="C60" s="78"/>
      <c r="D60" s="78"/>
      <c r="E60" s="78"/>
      <c r="F60" s="60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</row>
    <row r="61" spans="1:87" s="88" customFormat="1" x14ac:dyDescent="0.25">
      <c r="A61" s="65" t="s">
        <v>188</v>
      </c>
      <c r="B61" s="86">
        <v>41799806276</v>
      </c>
      <c r="C61" s="86">
        <v>25606107478</v>
      </c>
      <c r="D61" s="86">
        <v>22641009135</v>
      </c>
      <c r="E61" s="86">
        <v>17474756520</v>
      </c>
      <c r="F61" s="87">
        <v>16023726703</v>
      </c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12"/>
      <c r="CG61" s="112"/>
      <c r="CH61" s="112"/>
      <c r="CI61" s="112"/>
    </row>
    <row r="62" spans="1:87" x14ac:dyDescent="0.25">
      <c r="A62" s="94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</row>
    <row r="63" spans="1:87" x14ac:dyDescent="0.25">
      <c r="A63" s="95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</row>
    <row r="64" spans="1:87" x14ac:dyDescent="0.25"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</row>
    <row r="65" spans="1:63" x14ac:dyDescent="0.25">
      <c r="A65" s="95"/>
      <c r="B65" s="95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</row>
    <row r="66" spans="1:63" x14ac:dyDescent="0.25">
      <c r="A66" s="69"/>
      <c r="B66" s="69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</row>
    <row r="67" spans="1:63" x14ac:dyDescent="0.25">
      <c r="A67" s="9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</row>
    <row r="68" spans="1:63" x14ac:dyDescent="0.25">
      <c r="A68" s="97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</row>
    <row r="69" spans="1:63" x14ac:dyDescent="0.25"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</row>
    <row r="70" spans="1:63" x14ac:dyDescent="0.25">
      <c r="A70" s="97"/>
      <c r="B70" s="98"/>
      <c r="C70" s="99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</row>
    <row r="71" spans="1:63" x14ac:dyDescent="0.25">
      <c r="A71" s="100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</row>
    <row r="72" spans="1:63" x14ac:dyDescent="0.25">
      <c r="A72" s="100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</row>
    <row r="73" spans="1:63" x14ac:dyDescent="0.25">
      <c r="A73" s="101"/>
      <c r="B73" s="102"/>
      <c r="C73" s="103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</row>
    <row r="74" spans="1:63" x14ac:dyDescent="0.25">
      <c r="A74" s="101"/>
      <c r="B74" s="102"/>
      <c r="C74" s="103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</row>
    <row r="75" spans="1:63" x14ac:dyDescent="0.25">
      <c r="A75" s="101"/>
      <c r="B75" s="102"/>
      <c r="C75" s="103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</row>
    <row r="76" spans="1:63" x14ac:dyDescent="0.25">
      <c r="A76" s="101"/>
      <c r="B76" s="102"/>
      <c r="C76" s="103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</row>
    <row r="77" spans="1:63" x14ac:dyDescent="0.25">
      <c r="B77" s="102"/>
      <c r="C77" s="103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</row>
    <row r="78" spans="1:63" x14ac:dyDescent="0.25">
      <c r="A78" s="100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</row>
    <row r="79" spans="1:63" x14ac:dyDescent="0.25">
      <c r="A79" s="101"/>
      <c r="B79" s="102"/>
      <c r="C79" s="103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</row>
    <row r="80" spans="1:63" x14ac:dyDescent="0.25">
      <c r="A80" s="101"/>
      <c r="B80" s="102"/>
      <c r="C80" s="103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</row>
    <row r="81" spans="1:63" x14ac:dyDescent="0.25">
      <c r="A81" s="101"/>
      <c r="B81" s="102"/>
      <c r="C81" s="103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</row>
    <row r="82" spans="1:63" x14ac:dyDescent="0.25">
      <c r="A82" s="101"/>
      <c r="B82" s="102"/>
      <c r="C82" s="103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</row>
    <row r="83" spans="1:63" x14ac:dyDescent="0.25">
      <c r="A83" s="101"/>
      <c r="B83" s="102"/>
      <c r="C83" s="103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</row>
    <row r="84" spans="1:63" x14ac:dyDescent="0.25">
      <c r="A84" s="101"/>
      <c r="B84" s="102"/>
      <c r="C84" s="103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</row>
    <row r="85" spans="1:63" x14ac:dyDescent="0.25">
      <c r="B85" s="102"/>
      <c r="C85" s="103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</row>
    <row r="86" spans="1:63" x14ac:dyDescent="0.25">
      <c r="B86" s="102"/>
      <c r="C86" s="103"/>
    </row>
    <row r="87" spans="1:63" x14ac:dyDescent="0.25">
      <c r="A87" s="100"/>
    </row>
    <row r="88" spans="1:63" x14ac:dyDescent="0.25">
      <c r="A88" s="100"/>
    </row>
    <row r="89" spans="1:63" x14ac:dyDescent="0.25">
      <c r="A89" s="101"/>
      <c r="B89" s="102"/>
      <c r="C89" s="103"/>
    </row>
    <row r="90" spans="1:63" x14ac:dyDescent="0.25">
      <c r="A90" s="101"/>
      <c r="B90" s="102"/>
      <c r="C90" s="103"/>
    </row>
    <row r="91" spans="1:63" x14ac:dyDescent="0.25">
      <c r="A91" s="101"/>
      <c r="B91" s="102"/>
      <c r="C91" s="103"/>
    </row>
    <row r="92" spans="1:63" x14ac:dyDescent="0.25">
      <c r="A92" s="101"/>
      <c r="B92" s="102"/>
      <c r="C92" s="103"/>
    </row>
    <row r="93" spans="1:63" x14ac:dyDescent="0.25">
      <c r="B93" s="102"/>
      <c r="C93" s="103"/>
    </row>
    <row r="94" spans="1:63" x14ac:dyDescent="0.25">
      <c r="A94" s="100"/>
    </row>
    <row r="95" spans="1:63" x14ac:dyDescent="0.25">
      <c r="A95" s="100"/>
    </row>
    <row r="96" spans="1:63" x14ac:dyDescent="0.25">
      <c r="A96" s="101"/>
      <c r="B96" s="102"/>
      <c r="C96" s="103"/>
    </row>
    <row r="97" spans="1:3" x14ac:dyDescent="0.25">
      <c r="A97" s="101"/>
      <c r="B97" s="102"/>
      <c r="C97" s="103"/>
    </row>
    <row r="98" spans="1:3" x14ac:dyDescent="0.25">
      <c r="A98" s="101"/>
      <c r="B98" s="102"/>
      <c r="C98" s="103"/>
    </row>
    <row r="99" spans="1:3" x14ac:dyDescent="0.25">
      <c r="A99" s="101"/>
      <c r="B99" s="102"/>
      <c r="C99" s="103"/>
    </row>
    <row r="100" spans="1:3" x14ac:dyDescent="0.25">
      <c r="B100" s="102"/>
      <c r="C100" s="103"/>
    </row>
    <row r="101" spans="1:3" x14ac:dyDescent="0.25">
      <c r="A101" s="100"/>
    </row>
    <row r="102" spans="1:3" x14ac:dyDescent="0.25">
      <c r="A102" s="101"/>
      <c r="B102" s="102"/>
      <c r="C102" s="103"/>
    </row>
    <row r="103" spans="1:3" x14ac:dyDescent="0.25">
      <c r="A103" s="101"/>
      <c r="B103" s="102"/>
      <c r="C103" s="103"/>
    </row>
    <row r="104" spans="1:3" x14ac:dyDescent="0.25">
      <c r="A104" s="101"/>
      <c r="B104" s="102"/>
      <c r="C104" s="101"/>
    </row>
    <row r="105" spans="1:3" x14ac:dyDescent="0.25">
      <c r="A105" s="101"/>
      <c r="B105" s="102"/>
      <c r="C105" s="103"/>
    </row>
    <row r="106" spans="1:3" x14ac:dyDescent="0.25">
      <c r="A106" s="101"/>
      <c r="B106" s="102"/>
      <c r="C106" s="103"/>
    </row>
    <row r="107" spans="1:3" x14ac:dyDescent="0.25">
      <c r="A107" s="101"/>
      <c r="B107" s="102"/>
      <c r="C107" s="103"/>
    </row>
    <row r="108" spans="1:3" x14ac:dyDescent="0.25">
      <c r="A108" s="101"/>
      <c r="B108" s="102"/>
      <c r="C108" s="101"/>
    </row>
    <row r="109" spans="1:3" x14ac:dyDescent="0.25">
      <c r="B109" s="102"/>
      <c r="C109" s="103"/>
    </row>
    <row r="110" spans="1:3" x14ac:dyDescent="0.25">
      <c r="B110" s="102"/>
      <c r="C110" s="103"/>
    </row>
    <row r="111" spans="1:3" x14ac:dyDescent="0.25">
      <c r="B111" s="102"/>
      <c r="C111" s="103"/>
    </row>
    <row r="112" spans="1:3" x14ac:dyDescent="0.25">
      <c r="A112" s="100"/>
    </row>
    <row r="117" spans="1:3" x14ac:dyDescent="0.25">
      <c r="A117" s="104"/>
    </row>
    <row r="118" spans="1:3" x14ac:dyDescent="0.25">
      <c r="A118" s="105"/>
    </row>
    <row r="120" spans="1:3" x14ac:dyDescent="0.25">
      <c r="A120" s="105"/>
      <c r="B120" s="106"/>
      <c r="C120" s="107"/>
    </row>
    <row r="121" spans="1:3" x14ac:dyDescent="0.25">
      <c r="A121" s="108"/>
    </row>
    <row r="122" spans="1:3" x14ac:dyDescent="0.25">
      <c r="A122" s="108"/>
    </row>
    <row r="123" spans="1:3" x14ac:dyDescent="0.25">
      <c r="A123" s="109"/>
      <c r="B123" s="110"/>
      <c r="C123" s="111"/>
    </row>
    <row r="124" spans="1:3" x14ac:dyDescent="0.25">
      <c r="A124" s="109"/>
      <c r="B124" s="110"/>
      <c r="C124" s="109"/>
    </row>
    <row r="125" spans="1:3" x14ac:dyDescent="0.25">
      <c r="A125" s="109"/>
      <c r="B125" s="110"/>
      <c r="C125" s="111"/>
    </row>
    <row r="126" spans="1:3" x14ac:dyDescent="0.25">
      <c r="A126" s="109"/>
      <c r="B126" s="110"/>
      <c r="C126" s="111"/>
    </row>
    <row r="127" spans="1:3" x14ac:dyDescent="0.25">
      <c r="B127" s="110"/>
      <c r="C127" s="111"/>
    </row>
    <row r="128" spans="1:3" x14ac:dyDescent="0.25">
      <c r="A128" s="108"/>
    </row>
    <row r="129" spans="1:3" x14ac:dyDescent="0.25">
      <c r="A129" s="109"/>
      <c r="B129" s="110"/>
      <c r="C129" s="111"/>
    </row>
    <row r="130" spans="1:3" x14ac:dyDescent="0.25">
      <c r="A130" s="109"/>
      <c r="B130" s="110"/>
      <c r="C130" s="111"/>
    </row>
    <row r="131" spans="1:3" x14ac:dyDescent="0.25">
      <c r="A131" s="109"/>
      <c r="B131" s="110"/>
      <c r="C131" s="111"/>
    </row>
    <row r="132" spans="1:3" x14ac:dyDescent="0.25">
      <c r="A132" s="109"/>
      <c r="B132" s="110"/>
      <c r="C132" s="111"/>
    </row>
    <row r="133" spans="1:3" x14ac:dyDescent="0.25">
      <c r="A133" s="109"/>
      <c r="B133" s="110"/>
      <c r="C133" s="111"/>
    </row>
    <row r="134" spans="1:3" x14ac:dyDescent="0.25">
      <c r="A134" s="109"/>
      <c r="B134" s="110"/>
      <c r="C134" s="111"/>
    </row>
    <row r="135" spans="1:3" x14ac:dyDescent="0.25">
      <c r="A135" s="109"/>
      <c r="B135" s="110"/>
      <c r="C135" s="111"/>
    </row>
    <row r="136" spans="1:3" x14ac:dyDescent="0.25">
      <c r="B136" s="110"/>
      <c r="C136" s="111"/>
    </row>
    <row r="137" spans="1:3" x14ac:dyDescent="0.25">
      <c r="B137" s="110"/>
      <c r="C137" s="111"/>
    </row>
    <row r="138" spans="1:3" x14ac:dyDescent="0.25">
      <c r="A138" s="108"/>
    </row>
    <row r="139" spans="1:3" x14ac:dyDescent="0.25">
      <c r="A139" s="108"/>
    </row>
    <row r="140" spans="1:3" x14ac:dyDescent="0.25">
      <c r="A140" s="109"/>
      <c r="B140" s="110"/>
      <c r="C140" s="111"/>
    </row>
    <row r="141" spans="1:3" x14ac:dyDescent="0.25">
      <c r="A141" s="109"/>
      <c r="B141" s="110"/>
      <c r="C141" s="111"/>
    </row>
    <row r="142" spans="1:3" x14ac:dyDescent="0.25">
      <c r="A142" s="109"/>
      <c r="B142" s="110"/>
      <c r="C142" s="111"/>
    </row>
    <row r="143" spans="1:3" x14ac:dyDescent="0.25">
      <c r="A143" s="109"/>
      <c r="B143" s="110"/>
      <c r="C143" s="111"/>
    </row>
    <row r="144" spans="1:3" x14ac:dyDescent="0.25">
      <c r="B144" s="110"/>
      <c r="C144" s="111"/>
    </row>
    <row r="145" spans="1:3" x14ac:dyDescent="0.25">
      <c r="A145" s="108"/>
    </row>
    <row r="146" spans="1:3" x14ac:dyDescent="0.25">
      <c r="A146" s="108"/>
    </row>
    <row r="147" spans="1:3" x14ac:dyDescent="0.25">
      <c r="A147" s="109"/>
      <c r="B147" s="110"/>
      <c r="C147" s="109"/>
    </row>
    <row r="148" spans="1:3" x14ac:dyDescent="0.25">
      <c r="A148" s="109"/>
      <c r="B148" s="110"/>
      <c r="C148" s="111"/>
    </row>
    <row r="149" spans="1:3" x14ac:dyDescent="0.25">
      <c r="B149" s="110"/>
      <c r="C149" s="111"/>
    </row>
    <row r="150" spans="1:3" x14ac:dyDescent="0.25">
      <c r="A150" s="108"/>
    </row>
    <row r="151" spans="1:3" x14ac:dyDescent="0.25">
      <c r="A151" s="109"/>
      <c r="B151" s="110"/>
      <c r="C151" s="111"/>
    </row>
    <row r="152" spans="1:3" x14ac:dyDescent="0.25">
      <c r="A152" s="109"/>
      <c r="B152" s="110"/>
      <c r="C152" s="111"/>
    </row>
    <row r="153" spans="1:3" x14ac:dyDescent="0.25">
      <c r="A153" s="109"/>
      <c r="B153" s="110"/>
      <c r="C153" s="111"/>
    </row>
    <row r="154" spans="1:3" x14ac:dyDescent="0.25">
      <c r="A154" s="109"/>
      <c r="B154" s="110"/>
      <c r="C154" s="111"/>
    </row>
    <row r="155" spans="1:3" x14ac:dyDescent="0.25">
      <c r="A155" s="109"/>
      <c r="B155" s="110"/>
      <c r="C155" s="111"/>
    </row>
    <row r="156" spans="1:3" x14ac:dyDescent="0.25">
      <c r="A156" s="109"/>
      <c r="B156" s="104"/>
      <c r="C156" s="111"/>
    </row>
    <row r="157" spans="1:3" x14ac:dyDescent="0.25">
      <c r="B157" s="110"/>
      <c r="C157" s="111"/>
    </row>
    <row r="158" spans="1:3" x14ac:dyDescent="0.25">
      <c r="B158" s="110"/>
      <c r="C158" s="111"/>
    </row>
    <row r="159" spans="1:3" x14ac:dyDescent="0.25">
      <c r="B159" s="110"/>
      <c r="C159" s="111"/>
    </row>
    <row r="160" spans="1:3" x14ac:dyDescent="0.25">
      <c r="A160" s="10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15A6-DFFE-47FB-87CC-BFB010A8DE3D}">
  <dimension ref="A1:M85"/>
  <sheetViews>
    <sheetView tabSelected="1" topLeftCell="A29" zoomScaleNormal="100" workbookViewId="0">
      <selection activeCell="G45" sqref="G45"/>
    </sheetView>
  </sheetViews>
  <sheetFormatPr defaultRowHeight="13.2" x14ac:dyDescent="0.25"/>
  <cols>
    <col min="1" max="1" width="83.109375" bestFit="1" customWidth="1"/>
    <col min="2" max="2" width="17.5546875" hidden="1" customWidth="1"/>
    <col min="3" max="3" width="17.5546875" customWidth="1"/>
    <col min="4" max="4" width="17.5546875" style="146" hidden="1" customWidth="1"/>
    <col min="5" max="5" width="17.5546875" style="146" customWidth="1"/>
    <col min="6" max="6" width="17.5546875" hidden="1" customWidth="1"/>
    <col min="7" max="7" width="17.5546875" customWidth="1"/>
    <col min="8" max="8" width="17.5546875" style="151" hidden="1" customWidth="1"/>
    <col min="9" max="9" width="17.5546875" style="151" customWidth="1"/>
    <col min="10" max="10" width="17.5546875" style="153" hidden="1" customWidth="1"/>
    <col min="12" max="12" width="11.77734375" bestFit="1" customWidth="1"/>
    <col min="13" max="13" width="10.77734375" bestFit="1" customWidth="1"/>
  </cols>
  <sheetData>
    <row r="1" spans="1:13" ht="30" x14ac:dyDescent="0.5">
      <c r="A1" s="140" t="s">
        <v>38</v>
      </c>
    </row>
    <row r="2" spans="1:13" ht="30" x14ac:dyDescent="0.5">
      <c r="A2" s="140" t="s">
        <v>39</v>
      </c>
    </row>
    <row r="3" spans="1:13" ht="15.6" x14ac:dyDescent="0.3">
      <c r="A3" s="142"/>
    </row>
    <row r="4" spans="1:13" x14ac:dyDescent="0.25">
      <c r="A4" s="177" t="s">
        <v>0</v>
      </c>
      <c r="B4" s="178">
        <v>2021</v>
      </c>
      <c r="C4" s="178" t="s">
        <v>193</v>
      </c>
      <c r="D4" s="178">
        <v>2020</v>
      </c>
      <c r="E4" s="178" t="s">
        <v>194</v>
      </c>
      <c r="F4" s="178">
        <v>2019</v>
      </c>
      <c r="G4" s="178" t="s">
        <v>195</v>
      </c>
      <c r="H4" s="178">
        <v>2018</v>
      </c>
      <c r="I4" s="178" t="s">
        <v>198</v>
      </c>
      <c r="J4" s="154">
        <v>2017</v>
      </c>
    </row>
    <row r="5" spans="1:13" x14ac:dyDescent="0.25">
      <c r="A5" s="176" t="s">
        <v>41</v>
      </c>
      <c r="B5" s="179">
        <v>44971836150</v>
      </c>
      <c r="C5" s="127">
        <f>(B5-D5)/D5</f>
        <v>0.64701887717204898</v>
      </c>
      <c r="D5" s="179">
        <v>27304991323</v>
      </c>
      <c r="E5" s="127">
        <f>(D5-F5)/F5</f>
        <v>-0.11428205904869292</v>
      </c>
      <c r="F5" s="179">
        <v>30828088786</v>
      </c>
      <c r="G5" s="127">
        <f>(F5-H5)/H5</f>
        <v>0.38703802404523713</v>
      </c>
      <c r="H5" s="179">
        <v>22225842588</v>
      </c>
      <c r="I5" s="127">
        <f>(H5-J5)/J5</f>
        <v>0.18204893213313328</v>
      </c>
      <c r="J5" s="162">
        <v>18802810936</v>
      </c>
    </row>
    <row r="6" spans="1:13" x14ac:dyDescent="0.25">
      <c r="A6" s="176" t="s">
        <v>42</v>
      </c>
      <c r="B6" s="179">
        <v>-38280467988</v>
      </c>
      <c r="C6" s="127">
        <f t="shared" ref="C6:C30" si="0">(B6-D6)/D6</f>
        <v>0.55059855074917818</v>
      </c>
      <c r="D6" s="179">
        <v>-24687542736</v>
      </c>
      <c r="E6" s="127">
        <f t="shared" ref="E6:E30" si="1">(D6-F6)/F6</f>
        <v>-0.10678904066730691</v>
      </c>
      <c r="F6" s="179">
        <v>-27639095197</v>
      </c>
      <c r="G6" s="127">
        <f t="shared" ref="G6:G30" si="2">(F6-H6)/H6</f>
        <v>0.42239113884828905</v>
      </c>
      <c r="H6" s="179">
        <v>-19431430949</v>
      </c>
      <c r="I6" s="127">
        <f t="shared" ref="I6:I30" si="3">(H6-J6)/J6</f>
        <v>0.15406608586781306</v>
      </c>
      <c r="J6" s="162">
        <v>-16837364157</v>
      </c>
    </row>
    <row r="7" spans="1:13" x14ac:dyDescent="0.25">
      <c r="A7" s="177" t="s">
        <v>43</v>
      </c>
      <c r="B7" s="179">
        <v>6691368162</v>
      </c>
      <c r="C7" s="127">
        <f t="shared" si="0"/>
        <v>1.5564468372879638</v>
      </c>
      <c r="D7" s="179">
        <v>2617448587</v>
      </c>
      <c r="E7" s="127">
        <f t="shared" si="1"/>
        <v>-0.17922425556810989</v>
      </c>
      <c r="F7" s="179">
        <v>3188993589</v>
      </c>
      <c r="G7" s="127">
        <f t="shared" si="2"/>
        <v>0.14120394593732938</v>
      </c>
      <c r="H7" s="179">
        <v>2794411639</v>
      </c>
      <c r="I7" s="127">
        <f t="shared" si="3"/>
        <v>0.42176917170037498</v>
      </c>
      <c r="J7" s="162">
        <v>1965446779</v>
      </c>
    </row>
    <row r="8" spans="1:13" x14ac:dyDescent="0.25">
      <c r="A8" s="176" t="s">
        <v>44</v>
      </c>
      <c r="B8" s="179">
        <v>-254310408</v>
      </c>
      <c r="C8" s="127">
        <f t="shared" si="0"/>
        <v>0.76744344375964857</v>
      </c>
      <c r="D8" s="179">
        <v>-143886023</v>
      </c>
      <c r="E8" s="127">
        <f t="shared" si="1"/>
        <v>-0.28625020209787128</v>
      </c>
      <c r="F8" s="179">
        <v>-201591683</v>
      </c>
      <c r="G8" s="127">
        <f t="shared" si="2"/>
        <v>-0.18162963406926755</v>
      </c>
      <c r="H8" s="179">
        <v>-246333068</v>
      </c>
      <c r="I8" s="127">
        <f t="shared" si="3"/>
        <v>0.50158232303199812</v>
      </c>
      <c r="J8" s="162">
        <v>-164048993</v>
      </c>
    </row>
    <row r="9" spans="1:13" x14ac:dyDescent="0.25">
      <c r="A9" s="176" t="s">
        <v>45</v>
      </c>
      <c r="B9" s="179">
        <v>-537896276</v>
      </c>
      <c r="C9" s="127">
        <f t="shared" si="0"/>
        <v>0.32150939076504026</v>
      </c>
      <c r="D9" s="179">
        <v>-407031747</v>
      </c>
      <c r="E9" s="127">
        <f t="shared" si="1"/>
        <v>0.10952645443531767</v>
      </c>
      <c r="F9" s="179">
        <v>-366851773</v>
      </c>
      <c r="G9" s="127">
        <f t="shared" si="2"/>
        <v>0.17242142876877536</v>
      </c>
      <c r="H9" s="179">
        <v>-312900945</v>
      </c>
      <c r="I9" s="127">
        <f t="shared" si="3"/>
        <v>0.18042500226917063</v>
      </c>
      <c r="J9" s="162">
        <v>-265074820</v>
      </c>
    </row>
    <row r="10" spans="1:13" x14ac:dyDescent="0.25">
      <c r="A10" s="176" t="s">
        <v>46</v>
      </c>
      <c r="B10" s="179">
        <v>-379245548</v>
      </c>
      <c r="C10" s="127">
        <f t="shared" si="0"/>
        <v>6.0953745341857664</v>
      </c>
      <c r="D10" s="179">
        <v>-53449687</v>
      </c>
      <c r="E10" s="127">
        <f t="shared" si="1"/>
        <v>-0.56716226567044137</v>
      </c>
      <c r="F10" s="179">
        <v>-123486662</v>
      </c>
      <c r="G10" s="127">
        <f t="shared" si="2"/>
        <v>8.6173746248370667E-2</v>
      </c>
      <c r="H10" s="179">
        <v>-113689603</v>
      </c>
      <c r="I10" s="127">
        <f t="shared" si="3"/>
        <v>0.33779516466493265</v>
      </c>
      <c r="J10" s="162">
        <v>-84982818</v>
      </c>
    </row>
    <row r="11" spans="1:13" x14ac:dyDescent="0.25">
      <c r="A11" s="176" t="s">
        <v>47</v>
      </c>
      <c r="B11" s="179">
        <v>-54959050</v>
      </c>
      <c r="C11" s="127">
        <f t="shared" si="0"/>
        <v>15.373677250056531</v>
      </c>
      <c r="D11" s="179">
        <v>-3356549</v>
      </c>
      <c r="E11" s="127">
        <f t="shared" si="1"/>
        <v>1.3995440183601035E-2</v>
      </c>
      <c r="F11" s="179">
        <v>-3310221</v>
      </c>
      <c r="G11" s="127">
        <f t="shared" si="2"/>
        <v>0.98946614948006884</v>
      </c>
      <c r="H11" s="179">
        <v>-1663874</v>
      </c>
      <c r="I11" s="127">
        <f t="shared" si="3"/>
        <v>-1.2572469431445843</v>
      </c>
      <c r="J11" s="162">
        <v>6468003</v>
      </c>
    </row>
    <row r="12" spans="1:13" x14ac:dyDescent="0.25">
      <c r="A12" s="176" t="s">
        <v>48</v>
      </c>
      <c r="B12" s="179">
        <v>66824889</v>
      </c>
      <c r="C12" s="127">
        <f t="shared" si="0"/>
        <v>0.13670400096998903</v>
      </c>
      <c r="D12" s="179">
        <v>58788294</v>
      </c>
      <c r="E12" s="127">
        <f t="shared" si="1"/>
        <v>0.95970778538926949</v>
      </c>
      <c r="F12" s="179">
        <v>29998500</v>
      </c>
      <c r="G12" s="127">
        <f t="shared" si="2"/>
        <v>-0.1750499078512171</v>
      </c>
      <c r="H12" s="179">
        <v>36364018</v>
      </c>
      <c r="I12" s="127">
        <f t="shared" si="3"/>
        <v>7.0255857951182707E-2</v>
      </c>
      <c r="J12" s="162">
        <v>33976939</v>
      </c>
    </row>
    <row r="13" spans="1:13" x14ac:dyDescent="0.25">
      <c r="A13" s="176" t="s">
        <v>49</v>
      </c>
      <c r="B13" s="179">
        <v>-1370293957</v>
      </c>
      <c r="C13" s="127">
        <f t="shared" si="0"/>
        <v>-9.5387688060572629E-2</v>
      </c>
      <c r="D13" s="179">
        <v>-1514785880</v>
      </c>
      <c r="E13" s="127">
        <f t="shared" si="1"/>
        <v>0.92640340670653232</v>
      </c>
      <c r="F13" s="179">
        <v>-786328489</v>
      </c>
      <c r="G13" s="127">
        <f t="shared" si="2"/>
        <v>0.42332143542111361</v>
      </c>
      <c r="H13" s="179">
        <v>-552460231</v>
      </c>
      <c r="I13" s="127">
        <f t="shared" si="3"/>
        <v>1.1534104080300573</v>
      </c>
      <c r="J13" s="162">
        <v>-256551296</v>
      </c>
      <c r="L13" s="141"/>
    </row>
    <row r="14" spans="1:13" x14ac:dyDescent="0.25">
      <c r="A14" s="176"/>
      <c r="B14" s="179">
        <v>-2529880350</v>
      </c>
      <c r="C14" s="127">
        <f t="shared" si="0"/>
        <v>0.2258825801925321</v>
      </c>
      <c r="D14" s="179">
        <v>-2063721592</v>
      </c>
      <c r="E14" s="127">
        <f t="shared" si="1"/>
        <v>0.42171657286728448</v>
      </c>
      <c r="F14" s="179">
        <v>-1451570328</v>
      </c>
      <c r="G14" s="127">
        <f t="shared" si="2"/>
        <v>0.21910657241942616</v>
      </c>
      <c r="H14" s="179">
        <v>-1190683703</v>
      </c>
      <c r="I14" s="127">
        <f t="shared" si="3"/>
        <v>0.60221398053408648</v>
      </c>
      <c r="J14" s="162">
        <v>-743148991</v>
      </c>
    </row>
    <row r="15" spans="1:13" x14ac:dyDescent="0.25">
      <c r="A15" s="177" t="s">
        <v>50</v>
      </c>
      <c r="B15" s="179">
        <v>4161487812</v>
      </c>
      <c r="C15" s="127">
        <f t="shared" si="0"/>
        <v>6.5154143640766513</v>
      </c>
      <c r="D15" s="179">
        <v>553726995</v>
      </c>
      <c r="E15" s="127">
        <f t="shared" si="1"/>
        <v>-0.68129412824754398</v>
      </c>
      <c r="F15" s="179">
        <v>1737423261</v>
      </c>
      <c r="G15" s="127">
        <f t="shared" si="2"/>
        <v>8.336534021690821E-2</v>
      </c>
      <c r="H15" s="179">
        <v>1603727936</v>
      </c>
      <c r="I15" s="127">
        <f t="shared" si="3"/>
        <v>0.31205991841326969</v>
      </c>
      <c r="J15" s="162">
        <v>1222297788</v>
      </c>
      <c r="M15" s="141"/>
    </row>
    <row r="16" spans="1:13" x14ac:dyDescent="0.25">
      <c r="A16" s="176" t="s">
        <v>51</v>
      </c>
      <c r="B16" s="179">
        <v>-732338116</v>
      </c>
      <c r="C16" s="127">
        <f t="shared" si="0"/>
        <v>-19.708310292969205</v>
      </c>
      <c r="D16" s="179">
        <v>39145070</v>
      </c>
      <c r="E16" s="127">
        <f t="shared" si="1"/>
        <v>-1.1073962149882861</v>
      </c>
      <c r="F16" s="179">
        <v>-364492082</v>
      </c>
      <c r="G16" s="127">
        <f t="shared" si="2"/>
        <v>0.16260594409028087</v>
      </c>
      <c r="H16" s="179">
        <v>-313513004</v>
      </c>
      <c r="I16" s="127">
        <f t="shared" si="3"/>
        <v>0.35404631621540378</v>
      </c>
      <c r="J16" s="162">
        <v>-231537873</v>
      </c>
      <c r="L16" s="141"/>
    </row>
    <row r="17" spans="1:12" x14ac:dyDescent="0.25">
      <c r="A17" s="177" t="s">
        <v>52</v>
      </c>
      <c r="B17" s="179">
        <v>3429149696</v>
      </c>
      <c r="C17" s="127">
        <f t="shared" si="0"/>
        <v>4.783962339328637</v>
      </c>
      <c r="D17" s="179">
        <v>592872065</v>
      </c>
      <c r="E17" s="127">
        <f t="shared" si="1"/>
        <v>-0.56817058708519574</v>
      </c>
      <c r="F17" s="179">
        <v>1372931179</v>
      </c>
      <c r="G17" s="127">
        <f t="shared" si="2"/>
        <v>6.411044001155615E-2</v>
      </c>
      <c r="H17" s="179">
        <v>1290214932</v>
      </c>
      <c r="I17" s="127">
        <f t="shared" si="3"/>
        <v>0.30224781247836413</v>
      </c>
      <c r="J17" s="162">
        <v>990759915</v>
      </c>
    </row>
    <row r="18" spans="1:12" x14ac:dyDescent="0.25">
      <c r="A18" s="177" t="s">
        <v>39</v>
      </c>
      <c r="B18" s="179"/>
      <c r="C18" s="127"/>
      <c r="D18" s="179"/>
      <c r="E18" s="127"/>
      <c r="F18" s="179"/>
      <c r="G18" s="127"/>
      <c r="H18" s="179"/>
      <c r="I18" s="127"/>
      <c r="J18" s="166"/>
      <c r="L18" s="141"/>
    </row>
    <row r="19" spans="1:12" x14ac:dyDescent="0.25">
      <c r="A19" s="176" t="s">
        <v>53</v>
      </c>
      <c r="B19" s="179"/>
      <c r="C19" s="127"/>
      <c r="D19" s="179"/>
      <c r="E19" s="127"/>
      <c r="F19" s="179"/>
      <c r="G19" s="127"/>
      <c r="H19" s="179"/>
      <c r="I19" s="127"/>
      <c r="J19" s="166"/>
    </row>
    <row r="20" spans="1:12" x14ac:dyDescent="0.25">
      <c r="A20" s="176" t="s">
        <v>54</v>
      </c>
      <c r="B20" s="179"/>
      <c r="C20" s="127"/>
      <c r="D20" s="179"/>
      <c r="E20" s="127"/>
      <c r="F20" s="179"/>
      <c r="G20" s="127"/>
      <c r="H20" s="179"/>
      <c r="I20" s="127"/>
      <c r="J20" s="166"/>
    </row>
    <row r="21" spans="1:12" x14ac:dyDescent="0.25">
      <c r="A21" s="176" t="s">
        <v>55</v>
      </c>
      <c r="B21" s="179">
        <v>-35575214</v>
      </c>
      <c r="C21" s="127">
        <f t="shared" si="0"/>
        <v>-1.8856435541519667</v>
      </c>
      <c r="D21" s="179">
        <v>40168772</v>
      </c>
      <c r="E21" s="127">
        <f t="shared" si="1"/>
        <v>-2.4495049322022688</v>
      </c>
      <c r="F21" s="179">
        <v>-27712063</v>
      </c>
      <c r="G21" s="127">
        <f t="shared" si="2"/>
        <v>0.96349718800095652</v>
      </c>
      <c r="H21" s="179">
        <v>-14113625</v>
      </c>
      <c r="I21" s="127">
        <f t="shared" si="3"/>
        <v>1.4107207672697615</v>
      </c>
      <c r="J21" s="162">
        <v>-5854525</v>
      </c>
    </row>
    <row r="22" spans="1:12" x14ac:dyDescent="0.25">
      <c r="A22" s="176" t="s">
        <v>56</v>
      </c>
      <c r="B22" s="179">
        <v>10316812</v>
      </c>
      <c r="C22" s="127">
        <f t="shared" si="0"/>
        <v>-1.8856435398779494</v>
      </c>
      <c r="D22" s="179">
        <v>-11648944</v>
      </c>
      <c r="E22" s="127">
        <f t="shared" si="1"/>
        <v>-2.4495049958327622</v>
      </c>
      <c r="F22" s="179">
        <v>8036498</v>
      </c>
      <c r="G22" s="127">
        <f t="shared" si="2"/>
        <v>0.96349724196551578</v>
      </c>
      <c r="H22" s="179">
        <v>4092951</v>
      </c>
      <c r="I22" s="127">
        <f t="shared" si="3"/>
        <v>1.330362602612907</v>
      </c>
      <c r="J22" s="162">
        <v>1756358</v>
      </c>
      <c r="L22" s="141"/>
    </row>
    <row r="23" spans="1:12" x14ac:dyDescent="0.25">
      <c r="A23" s="176"/>
      <c r="B23" s="179">
        <v>-25258402</v>
      </c>
      <c r="C23" s="127">
        <f t="shared" si="0"/>
        <v>-1.885643559982199</v>
      </c>
      <c r="D23" s="179">
        <v>28519828</v>
      </c>
      <c r="E23" s="127">
        <f t="shared" si="1"/>
        <v>-2.4495049062123502</v>
      </c>
      <c r="F23" s="179">
        <f>F21+F22</f>
        <v>-19675565</v>
      </c>
      <c r="G23" s="127">
        <f t="shared" si="2"/>
        <v>0.96349716595909618</v>
      </c>
      <c r="H23" s="179">
        <f>H21+H22</f>
        <v>-10020674</v>
      </c>
      <c r="I23" s="127">
        <f t="shared" si="3"/>
        <v>1.4451599947000695</v>
      </c>
      <c r="J23" s="162">
        <f>J21+J22</f>
        <v>-4098167</v>
      </c>
    </row>
    <row r="24" spans="1:12" x14ac:dyDescent="0.25">
      <c r="A24" s="176" t="s">
        <v>57</v>
      </c>
      <c r="B24" s="179">
        <v>4684650374</v>
      </c>
      <c r="C24" s="127"/>
      <c r="D24" s="179" t="s">
        <v>19</v>
      </c>
      <c r="E24" s="127"/>
      <c r="F24" s="179"/>
      <c r="G24" s="127"/>
      <c r="H24" s="179"/>
      <c r="I24" s="127"/>
      <c r="J24" s="166"/>
    </row>
    <row r="25" spans="1:12" x14ac:dyDescent="0.25">
      <c r="A25" s="176" t="s">
        <v>56</v>
      </c>
      <c r="B25" s="179">
        <v>-1212338109</v>
      </c>
      <c r="C25" s="127"/>
      <c r="D25" s="179" t="s">
        <v>19</v>
      </c>
      <c r="E25" s="127"/>
      <c r="F25" s="179"/>
      <c r="G25" s="127"/>
      <c r="H25" s="179"/>
      <c r="I25" s="127"/>
      <c r="J25" s="166"/>
    </row>
    <row r="26" spans="1:12" x14ac:dyDescent="0.25">
      <c r="A26" s="176"/>
      <c r="B26" s="179">
        <v>3472312265</v>
      </c>
      <c r="C26" s="127"/>
      <c r="D26" s="179" t="s">
        <v>19</v>
      </c>
      <c r="E26" s="127"/>
      <c r="F26" s="179"/>
      <c r="G26" s="127"/>
      <c r="H26" s="179"/>
      <c r="I26" s="127"/>
      <c r="J26" s="166"/>
    </row>
    <row r="27" spans="1:12" x14ac:dyDescent="0.25">
      <c r="A27" s="176" t="s">
        <v>58</v>
      </c>
      <c r="B27" s="179">
        <v>3447053863</v>
      </c>
      <c r="C27" s="127">
        <f t="shared" si="0"/>
        <v>119.86517011953929</v>
      </c>
      <c r="D27" s="179">
        <v>28519828</v>
      </c>
      <c r="E27" s="127">
        <f t="shared" si="1"/>
        <v>-2.4495049062123502</v>
      </c>
      <c r="F27" s="179">
        <v>-19675565</v>
      </c>
      <c r="G27" s="127">
        <f t="shared" si="2"/>
        <v>0.96349716595909618</v>
      </c>
      <c r="H27" s="179">
        <v>-10020674</v>
      </c>
      <c r="I27" s="127">
        <f t="shared" si="3"/>
        <v>1.4451599947000695</v>
      </c>
      <c r="J27" s="162">
        <v>-4098167</v>
      </c>
    </row>
    <row r="28" spans="1:12" x14ac:dyDescent="0.25">
      <c r="A28" s="177" t="s">
        <v>59</v>
      </c>
      <c r="B28" s="179">
        <v>6876203559</v>
      </c>
      <c r="C28" s="127">
        <f t="shared" si="0"/>
        <v>10.065808286945256</v>
      </c>
      <c r="D28" s="179">
        <v>621391893</v>
      </c>
      <c r="E28" s="127">
        <f t="shared" si="1"/>
        <v>-0.54081705882359632</v>
      </c>
      <c r="F28" s="179">
        <v>1353255614</v>
      </c>
      <c r="G28" s="127">
        <f t="shared" si="2"/>
        <v>5.7070523120562225E-2</v>
      </c>
      <c r="H28" s="179">
        <v>1280194258</v>
      </c>
      <c r="I28" s="127">
        <f t="shared" si="3"/>
        <v>0.29750064862147668</v>
      </c>
      <c r="J28" s="162">
        <v>986661748</v>
      </c>
    </row>
    <row r="29" spans="1:12" x14ac:dyDescent="0.25">
      <c r="A29" s="176"/>
      <c r="B29" s="182"/>
      <c r="C29" s="127"/>
      <c r="D29" s="182"/>
      <c r="E29" s="127"/>
      <c r="F29" s="182"/>
      <c r="G29" s="127"/>
      <c r="H29" s="182"/>
      <c r="I29" s="127"/>
      <c r="J29" s="157"/>
    </row>
    <row r="30" spans="1:12" x14ac:dyDescent="0.25">
      <c r="A30" s="177" t="s">
        <v>60</v>
      </c>
      <c r="B30" s="182">
        <v>12.85</v>
      </c>
      <c r="C30" s="127">
        <f t="shared" si="0"/>
        <v>4.7111111111111112</v>
      </c>
      <c r="D30" s="182">
        <v>2.25</v>
      </c>
      <c r="E30" s="127">
        <f t="shared" si="1"/>
        <v>-0.58791208791208793</v>
      </c>
      <c r="F30" s="182">
        <v>5.46</v>
      </c>
      <c r="G30" s="127">
        <f t="shared" si="2"/>
        <v>6.4327485380116969E-2</v>
      </c>
      <c r="H30" s="182">
        <v>5.13</v>
      </c>
      <c r="I30" s="127">
        <f t="shared" si="3"/>
        <v>0.21852731591448929</v>
      </c>
      <c r="J30" s="156">
        <v>4.21</v>
      </c>
    </row>
    <row r="31" spans="1:12" x14ac:dyDescent="0.25">
      <c r="A31" s="6"/>
    </row>
    <row r="35" spans="1:9" ht="31.2" x14ac:dyDescent="0.5">
      <c r="A35" s="21" t="s">
        <v>0</v>
      </c>
      <c r="B35">
        <v>2021</v>
      </c>
      <c r="C35" s="176" t="s">
        <v>193</v>
      </c>
      <c r="D35" s="176">
        <v>2020</v>
      </c>
      <c r="E35" s="176" t="s">
        <v>194</v>
      </c>
      <c r="F35" s="176">
        <v>2019</v>
      </c>
      <c r="G35" s="176" t="s">
        <v>195</v>
      </c>
      <c r="H35" s="176">
        <v>2018</v>
      </c>
      <c r="I35" s="176" t="s">
        <v>198</v>
      </c>
    </row>
    <row r="36" spans="1:9" x14ac:dyDescent="0.25">
      <c r="A36" s="185" t="s">
        <v>41</v>
      </c>
      <c r="B36">
        <v>44971836150</v>
      </c>
      <c r="C36" s="127">
        <v>0.64701887717204898</v>
      </c>
      <c r="D36" s="127">
        <v>27304991323</v>
      </c>
      <c r="E36" s="127">
        <v>-0.11428205904869292</v>
      </c>
      <c r="F36" s="127">
        <v>30828088786</v>
      </c>
      <c r="G36" s="127">
        <v>0.38703802404523713</v>
      </c>
      <c r="H36" s="127">
        <v>22225842588</v>
      </c>
      <c r="I36" s="127">
        <v>0.18204893213313328</v>
      </c>
    </row>
    <row r="37" spans="1:9" x14ac:dyDescent="0.25">
      <c r="A37" s="185" t="s">
        <v>42</v>
      </c>
      <c r="B37">
        <v>-38280467988</v>
      </c>
      <c r="C37" s="127">
        <v>0.55059855074917818</v>
      </c>
      <c r="D37" s="127">
        <v>-24687542736</v>
      </c>
      <c r="E37" s="127">
        <v>-0.10678904066730691</v>
      </c>
      <c r="F37" s="127">
        <v>-27639095197</v>
      </c>
      <c r="G37" s="127">
        <v>0.42239113884828905</v>
      </c>
      <c r="H37" s="127">
        <v>-19431430949</v>
      </c>
      <c r="I37" s="127">
        <v>0.15406608586781306</v>
      </c>
    </row>
    <row r="38" spans="1:9" x14ac:dyDescent="0.25">
      <c r="A38" s="185" t="s">
        <v>43</v>
      </c>
      <c r="B38" s="18">
        <v>6691368162</v>
      </c>
      <c r="C38" s="187">
        <v>1.5564468372879638</v>
      </c>
      <c r="D38" s="187">
        <v>2617448587</v>
      </c>
      <c r="E38" s="187">
        <v>-0.17922425556810989</v>
      </c>
      <c r="F38" s="127">
        <v>3188993589</v>
      </c>
      <c r="G38" s="127">
        <v>0.14120394593732938</v>
      </c>
      <c r="H38" s="127">
        <v>2794411639</v>
      </c>
      <c r="I38" s="127">
        <v>0.42176917170037498</v>
      </c>
    </row>
    <row r="39" spans="1:9" x14ac:dyDescent="0.25">
      <c r="A39" s="186" t="s">
        <v>44</v>
      </c>
      <c r="B39" s="16">
        <v>-254310408</v>
      </c>
      <c r="C39" s="181">
        <v>0.76744344375964857</v>
      </c>
      <c r="D39" s="181">
        <v>-143886023</v>
      </c>
      <c r="E39" s="181">
        <v>-0.28625020209787128</v>
      </c>
      <c r="F39" s="127">
        <v>-201591683</v>
      </c>
      <c r="G39" s="127">
        <v>-0.18162963406926755</v>
      </c>
      <c r="H39" s="127">
        <v>-246333068</v>
      </c>
      <c r="I39" s="127">
        <v>0.50158232303199812</v>
      </c>
    </row>
    <row r="40" spans="1:9" x14ac:dyDescent="0.25">
      <c r="A40" s="186" t="s">
        <v>45</v>
      </c>
      <c r="B40" s="16">
        <v>-537896276</v>
      </c>
      <c r="C40" s="181">
        <v>0.32150939076504026</v>
      </c>
      <c r="D40" s="181">
        <v>-407031747</v>
      </c>
      <c r="E40" s="181">
        <v>0.10952645443531767</v>
      </c>
      <c r="F40" s="127">
        <v>-366851773</v>
      </c>
      <c r="G40" s="127">
        <v>0.17242142876877536</v>
      </c>
      <c r="H40" s="127">
        <v>-312900945</v>
      </c>
      <c r="I40" s="127">
        <v>0.18042500226917063</v>
      </c>
    </row>
    <row r="41" spans="1:9" x14ac:dyDescent="0.25">
      <c r="A41" s="185" t="s">
        <v>46</v>
      </c>
      <c r="B41" s="16">
        <v>-379245548</v>
      </c>
      <c r="C41" s="181">
        <v>6.0953745341857664</v>
      </c>
      <c r="D41" s="181">
        <v>-53449687</v>
      </c>
      <c r="E41" s="181">
        <v>-0.56716226567044137</v>
      </c>
      <c r="F41" s="127">
        <v>-123486662</v>
      </c>
      <c r="G41" s="127">
        <v>8.6173746248370667E-2</v>
      </c>
      <c r="H41" s="127">
        <v>-113689603</v>
      </c>
      <c r="I41" s="127">
        <v>0.33779516466493265</v>
      </c>
    </row>
    <row r="42" spans="1:9" x14ac:dyDescent="0.25">
      <c r="A42" s="186" t="s">
        <v>47</v>
      </c>
      <c r="B42" s="16">
        <v>-54959050</v>
      </c>
      <c r="C42" s="181">
        <v>15.373677250056531</v>
      </c>
      <c r="D42" s="181">
        <v>-3356549</v>
      </c>
      <c r="E42" s="181">
        <v>1.3995440183601035E-2</v>
      </c>
      <c r="F42" s="127">
        <v>-3310221</v>
      </c>
      <c r="G42" s="127">
        <v>0.98946614948006884</v>
      </c>
      <c r="H42" s="127">
        <v>-1663874</v>
      </c>
      <c r="I42" s="127">
        <v>-1.2572469431445843</v>
      </c>
    </row>
    <row r="43" spans="1:9" x14ac:dyDescent="0.25">
      <c r="A43" s="186" t="s">
        <v>48</v>
      </c>
      <c r="B43" s="16">
        <v>66824889</v>
      </c>
      <c r="C43" s="181">
        <v>0.13670400096998903</v>
      </c>
      <c r="D43" s="181">
        <v>58788294</v>
      </c>
      <c r="E43" s="181">
        <v>0.95970778538926949</v>
      </c>
      <c r="F43" s="127">
        <v>29998500</v>
      </c>
      <c r="G43" s="127">
        <v>-0.1750499078512171</v>
      </c>
      <c r="H43" s="127">
        <v>36364018</v>
      </c>
      <c r="I43" s="127">
        <v>7.0255857951182707E-2</v>
      </c>
    </row>
    <row r="44" spans="1:9" x14ac:dyDescent="0.25">
      <c r="A44" s="186" t="s">
        <v>49</v>
      </c>
      <c r="B44" s="16">
        <v>-1370293957</v>
      </c>
      <c r="C44" s="181">
        <v>-9.5387688060572629E-2</v>
      </c>
      <c r="D44" s="181">
        <v>-1514785880</v>
      </c>
      <c r="E44" s="181">
        <v>0.92640340670653232</v>
      </c>
      <c r="F44" s="127">
        <v>-786328489</v>
      </c>
      <c r="G44" s="127">
        <v>0.42332143542111361</v>
      </c>
      <c r="H44" s="127">
        <v>-552460231</v>
      </c>
      <c r="I44" s="127">
        <v>1.1534104080300573</v>
      </c>
    </row>
    <row r="45" spans="1:9" x14ac:dyDescent="0.25">
      <c r="A45" s="186"/>
      <c r="B45" s="16">
        <v>-2529880350</v>
      </c>
      <c r="C45" s="181">
        <v>0.2258825801925321</v>
      </c>
      <c r="D45" s="181">
        <v>-2063721592</v>
      </c>
      <c r="E45" s="181">
        <v>0.42171657286728448</v>
      </c>
      <c r="F45" s="127">
        <v>-1451570328</v>
      </c>
      <c r="G45" s="127">
        <v>0.21910657241942616</v>
      </c>
      <c r="H45" s="127">
        <v>-1190683703</v>
      </c>
      <c r="I45" s="127">
        <v>0.60221398053408648</v>
      </c>
    </row>
    <row r="46" spans="1:9" x14ac:dyDescent="0.25">
      <c r="A46" s="186" t="s">
        <v>50</v>
      </c>
      <c r="B46" s="16">
        <v>4161487812</v>
      </c>
      <c r="C46" s="181">
        <v>6.5154143640766513</v>
      </c>
      <c r="D46" s="181">
        <v>553726995</v>
      </c>
      <c r="E46" s="181">
        <v>-0.68129412824754398</v>
      </c>
      <c r="F46" s="127">
        <v>1737423261</v>
      </c>
      <c r="G46" s="127">
        <v>8.336534021690821E-2</v>
      </c>
      <c r="H46" s="127">
        <v>1603727936</v>
      </c>
      <c r="I46" s="127">
        <v>0.31205991841326969</v>
      </c>
    </row>
    <row r="47" spans="1:9" x14ac:dyDescent="0.25">
      <c r="A47" s="186" t="s">
        <v>51</v>
      </c>
      <c r="B47" s="16">
        <v>-732338116</v>
      </c>
      <c r="C47" s="181">
        <v>-19.708310292969205</v>
      </c>
      <c r="D47" s="181">
        <v>39145070</v>
      </c>
      <c r="E47" s="181">
        <v>-1.1073962149882861</v>
      </c>
      <c r="F47" s="127">
        <v>-364492082</v>
      </c>
      <c r="G47" s="127">
        <v>0.16260594409028087</v>
      </c>
      <c r="H47" s="127">
        <v>-313513004</v>
      </c>
      <c r="I47" s="127">
        <v>0.35404631621540378</v>
      </c>
    </row>
    <row r="48" spans="1:9" x14ac:dyDescent="0.25">
      <c r="A48" s="176" t="s">
        <v>52</v>
      </c>
      <c r="B48" s="16">
        <v>3429149696</v>
      </c>
      <c r="C48" s="181">
        <v>4.783962339328637</v>
      </c>
      <c r="D48" s="181">
        <v>592872065</v>
      </c>
      <c r="E48" s="181">
        <v>-0.56817058708519574</v>
      </c>
      <c r="F48" s="127">
        <v>1372931179</v>
      </c>
      <c r="G48" s="127">
        <v>6.411044001155615E-2</v>
      </c>
      <c r="H48" s="127">
        <v>1290214932</v>
      </c>
      <c r="I48" s="127">
        <v>0.30224781247836413</v>
      </c>
    </row>
    <row r="49" spans="1:9" x14ac:dyDescent="0.25">
      <c r="A49" s="185" t="s">
        <v>39</v>
      </c>
      <c r="B49" s="16"/>
      <c r="C49" s="181"/>
      <c r="D49" s="181"/>
      <c r="E49" s="181"/>
      <c r="F49" s="127"/>
      <c r="G49" s="127"/>
      <c r="H49" s="127"/>
      <c r="I49" s="127"/>
    </row>
    <row r="50" spans="1:9" x14ac:dyDescent="0.25">
      <c r="A50" s="186" t="s">
        <v>53</v>
      </c>
      <c r="B50" s="16"/>
      <c r="C50" s="181"/>
      <c r="D50" s="181"/>
      <c r="E50" s="181"/>
      <c r="F50" s="127"/>
      <c r="G50" s="127"/>
      <c r="H50" s="127"/>
      <c r="I50" s="127"/>
    </row>
    <row r="51" spans="1:9" x14ac:dyDescent="0.25">
      <c r="A51" s="185" t="s">
        <v>54</v>
      </c>
      <c r="B51" s="16"/>
      <c r="C51" s="181"/>
      <c r="D51" s="181"/>
      <c r="E51" s="181"/>
      <c r="F51" s="127"/>
      <c r="G51" s="127"/>
      <c r="H51" s="127"/>
      <c r="I51" s="127"/>
    </row>
    <row r="52" spans="1:9" x14ac:dyDescent="0.25">
      <c r="A52" s="185" t="s">
        <v>55</v>
      </c>
      <c r="B52">
        <v>-35575214</v>
      </c>
      <c r="C52" s="127">
        <v>-1.8856435541519667</v>
      </c>
      <c r="D52" s="127">
        <v>40168772</v>
      </c>
      <c r="E52" s="127">
        <v>-2.4495049322022688</v>
      </c>
      <c r="F52" s="127">
        <v>-27712063</v>
      </c>
      <c r="G52" s="127">
        <v>0.96349718800095652</v>
      </c>
      <c r="H52" s="127">
        <v>-14113625</v>
      </c>
      <c r="I52" s="127">
        <v>1.4107207672697615</v>
      </c>
    </row>
    <row r="53" spans="1:9" x14ac:dyDescent="0.25">
      <c r="A53" s="186" t="s">
        <v>56</v>
      </c>
      <c r="B53">
        <v>10316812</v>
      </c>
      <c r="C53" s="127">
        <v>-1.8856435398779494</v>
      </c>
      <c r="D53" s="127">
        <v>-11648944</v>
      </c>
      <c r="E53" s="127">
        <v>-2.4495049958327622</v>
      </c>
      <c r="F53" s="127">
        <v>8036498</v>
      </c>
      <c r="G53" s="127">
        <v>0.96349724196551578</v>
      </c>
      <c r="H53" s="127">
        <v>4092951</v>
      </c>
      <c r="I53" s="127">
        <v>1.330362602612907</v>
      </c>
    </row>
    <row r="54" spans="1:9" x14ac:dyDescent="0.25">
      <c r="A54" s="186"/>
      <c r="B54" s="16">
        <v>-25258402</v>
      </c>
      <c r="C54" s="181">
        <v>-1.885643559982199</v>
      </c>
      <c r="D54" s="181">
        <v>28519828</v>
      </c>
      <c r="E54" s="181">
        <v>-2.4495049062123502</v>
      </c>
      <c r="F54" s="127">
        <v>-19675565</v>
      </c>
      <c r="G54" s="127">
        <v>0.96349716595909618</v>
      </c>
      <c r="H54" s="127">
        <v>-10020674</v>
      </c>
      <c r="I54" s="127">
        <v>1.4451599947000695</v>
      </c>
    </row>
    <row r="55" spans="1:9" x14ac:dyDescent="0.25">
      <c r="A55" s="186" t="s">
        <v>57</v>
      </c>
      <c r="B55" s="16">
        <v>4684650374</v>
      </c>
      <c r="C55" s="181"/>
      <c r="D55" s="181" t="s">
        <v>19</v>
      </c>
      <c r="E55" s="181"/>
      <c r="F55" s="127"/>
      <c r="G55" s="127"/>
      <c r="H55" s="127"/>
      <c r="I55" s="127"/>
    </row>
    <row r="56" spans="1:9" x14ac:dyDescent="0.25">
      <c r="A56" s="186" t="s">
        <v>56</v>
      </c>
      <c r="B56" s="16">
        <v>-1212338109</v>
      </c>
      <c r="C56" s="181"/>
      <c r="D56" s="181" t="s">
        <v>19</v>
      </c>
      <c r="E56" s="181"/>
      <c r="F56" s="127"/>
      <c r="G56" s="127"/>
      <c r="H56" s="127"/>
      <c r="I56" s="127"/>
    </row>
    <row r="57" spans="1:9" x14ac:dyDescent="0.25">
      <c r="A57" s="185"/>
      <c r="B57" s="16">
        <v>3472312265</v>
      </c>
      <c r="C57" s="181"/>
      <c r="D57" s="181" t="s">
        <v>19</v>
      </c>
      <c r="E57" s="181"/>
      <c r="F57" s="127"/>
      <c r="G57" s="127"/>
      <c r="H57" s="127"/>
      <c r="I57" s="127"/>
    </row>
    <row r="58" spans="1:9" x14ac:dyDescent="0.25">
      <c r="A58" s="185" t="s">
        <v>58</v>
      </c>
      <c r="B58" s="23">
        <v>3447053863</v>
      </c>
      <c r="C58" s="181">
        <v>119.86517011953929</v>
      </c>
      <c r="D58" s="181">
        <v>28519828</v>
      </c>
      <c r="E58" s="181">
        <v>-2.4495049062123502</v>
      </c>
      <c r="F58" s="127">
        <v>-19675565</v>
      </c>
      <c r="G58" s="127">
        <v>0.96349716595909618</v>
      </c>
      <c r="H58" s="127">
        <v>-10020674</v>
      </c>
      <c r="I58" s="127">
        <v>1.4451599947000695</v>
      </c>
    </row>
    <row r="59" spans="1:9" x14ac:dyDescent="0.25">
      <c r="A59" s="176" t="s">
        <v>59</v>
      </c>
      <c r="B59">
        <v>6876203559</v>
      </c>
      <c r="C59" s="127">
        <v>10.065808286945256</v>
      </c>
      <c r="D59" s="127">
        <v>621391893</v>
      </c>
      <c r="E59" s="127">
        <v>-0.54081705882359632</v>
      </c>
      <c r="F59" s="127">
        <v>1353255614</v>
      </c>
      <c r="G59" s="127">
        <v>5.7070523120562225E-2</v>
      </c>
      <c r="H59" s="127">
        <v>1280194258</v>
      </c>
      <c r="I59" s="127">
        <v>0.29750064862147668</v>
      </c>
    </row>
    <row r="60" spans="1:9" x14ac:dyDescent="0.25">
      <c r="A60" s="176"/>
      <c r="C60" s="127"/>
      <c r="D60" s="127"/>
      <c r="E60" s="127"/>
      <c r="F60" s="127"/>
      <c r="G60" s="127"/>
      <c r="H60" s="127"/>
      <c r="I60" s="127"/>
    </row>
    <row r="61" spans="1:9" x14ac:dyDescent="0.25">
      <c r="A61" s="176" t="s">
        <v>60</v>
      </c>
      <c r="B61">
        <v>12.85</v>
      </c>
      <c r="C61" s="127">
        <v>4.7111111111111112</v>
      </c>
      <c r="D61" s="127">
        <v>2.25</v>
      </c>
      <c r="E61" s="127">
        <v>-0.58791208791208793</v>
      </c>
      <c r="F61" s="127">
        <v>5.46</v>
      </c>
      <c r="G61" s="127">
        <v>6.4327485380116969E-2</v>
      </c>
      <c r="H61" s="127">
        <v>5.13</v>
      </c>
      <c r="I61" s="127">
        <v>0.21852731591448929</v>
      </c>
    </row>
    <row r="62" spans="1:9" x14ac:dyDescent="0.25">
      <c r="C62" s="127"/>
      <c r="D62" s="183"/>
      <c r="E62" s="183"/>
      <c r="F62" s="127"/>
      <c r="G62" s="127"/>
      <c r="H62" s="184"/>
      <c r="I62" s="184"/>
    </row>
    <row r="63" spans="1:9" ht="31.2" x14ac:dyDescent="0.5">
      <c r="A63" s="34"/>
    </row>
    <row r="64" spans="1:9" ht="31.8" x14ac:dyDescent="0.55000000000000004">
      <c r="A64" s="36"/>
    </row>
    <row r="65" spans="1:9" ht="15.6" x14ac:dyDescent="0.3">
      <c r="A65" s="33"/>
      <c r="C65">
        <v>2021</v>
      </c>
      <c r="E65" s="146">
        <v>2020</v>
      </c>
      <c r="I65" s="151" t="s">
        <v>193</v>
      </c>
    </row>
    <row r="66" spans="1:9" x14ac:dyDescent="0.25">
      <c r="A66" s="32" t="s">
        <v>199</v>
      </c>
      <c r="B66" s="30"/>
      <c r="C66" s="30">
        <v>43864956560</v>
      </c>
      <c r="D66" s="147"/>
      <c r="E66" s="147">
        <v>31319940373</v>
      </c>
      <c r="I66" s="184">
        <f>(C66-E66)/E66</f>
        <v>0.40054406354536642</v>
      </c>
    </row>
    <row r="67" spans="1:9" x14ac:dyDescent="0.25">
      <c r="A67" s="25" t="s">
        <v>200</v>
      </c>
      <c r="B67" s="28"/>
      <c r="C67" s="28">
        <v>6812830248</v>
      </c>
      <c r="D67" s="148"/>
      <c r="E67" s="148">
        <v>410511727</v>
      </c>
      <c r="I67" s="184">
        <f t="shared" ref="I67:I68" si="4">(C67-E67)/E67</f>
        <v>15.595945499018594</v>
      </c>
    </row>
    <row r="68" spans="1:9" x14ac:dyDescent="0.25">
      <c r="A68" s="25" t="s">
        <v>201</v>
      </c>
      <c r="B68" s="28"/>
      <c r="C68" s="28">
        <v>844101498</v>
      </c>
      <c r="D68" s="148"/>
      <c r="E68" s="148">
        <v>175672377</v>
      </c>
      <c r="I68" s="184">
        <f t="shared" si="4"/>
        <v>3.8049756735516818</v>
      </c>
    </row>
    <row r="69" spans="1:9" x14ac:dyDescent="0.25">
      <c r="A69" s="26"/>
      <c r="B69" s="28"/>
      <c r="C69" s="28"/>
      <c r="D69" s="148"/>
      <c r="E69" s="148"/>
    </row>
    <row r="70" spans="1:9" x14ac:dyDescent="0.25">
      <c r="A70" s="25"/>
      <c r="B70" s="28"/>
      <c r="C70" s="28"/>
      <c r="D70" s="148"/>
      <c r="E70" s="148"/>
    </row>
    <row r="71" spans="1:9" x14ac:dyDescent="0.25">
      <c r="A71" s="25"/>
      <c r="B71" s="28"/>
      <c r="C71" s="28"/>
      <c r="D71" s="148"/>
      <c r="E71" s="148"/>
    </row>
    <row r="72" spans="1:9" x14ac:dyDescent="0.25">
      <c r="A72" s="25"/>
      <c r="B72" s="28"/>
      <c r="C72" s="28"/>
      <c r="D72" s="148"/>
      <c r="E72" s="148"/>
    </row>
    <row r="73" spans="1:9" x14ac:dyDescent="0.25">
      <c r="A73" s="25"/>
      <c r="B73" s="28"/>
      <c r="C73" s="28"/>
      <c r="D73" s="148"/>
      <c r="E73" s="148"/>
    </row>
    <row r="74" spans="1:9" x14ac:dyDescent="0.25">
      <c r="A74" s="25"/>
      <c r="B74" s="28"/>
      <c r="C74" s="28"/>
      <c r="D74" s="148"/>
      <c r="E74" s="148"/>
    </row>
    <row r="75" spans="1:9" x14ac:dyDescent="0.25">
      <c r="B75" s="28"/>
      <c r="C75" s="28"/>
      <c r="D75" s="148"/>
      <c r="E75" s="148"/>
    </row>
    <row r="76" spans="1:9" x14ac:dyDescent="0.25">
      <c r="A76" s="26"/>
      <c r="B76" s="28"/>
      <c r="C76" s="28"/>
      <c r="D76" s="148"/>
      <c r="E76" s="148"/>
    </row>
    <row r="77" spans="1:9" x14ac:dyDescent="0.25">
      <c r="A77" s="25"/>
      <c r="B77" s="28"/>
      <c r="C77" s="28"/>
      <c r="D77" s="148"/>
      <c r="E77" s="148"/>
    </row>
    <row r="78" spans="1:9" x14ac:dyDescent="0.25">
      <c r="A78" s="26"/>
      <c r="B78" s="28"/>
      <c r="C78" s="28"/>
      <c r="D78" s="148"/>
      <c r="E78" s="148"/>
    </row>
    <row r="79" spans="1:9" x14ac:dyDescent="0.25">
      <c r="A79" s="26"/>
    </row>
    <row r="80" spans="1:9" x14ac:dyDescent="0.25">
      <c r="A80" s="25"/>
    </row>
    <row r="81" spans="1:5" x14ac:dyDescent="0.25">
      <c r="A81" s="25"/>
      <c r="B81" s="28"/>
      <c r="C81" s="28"/>
      <c r="D81" s="148"/>
      <c r="E81" s="148"/>
    </row>
    <row r="82" spans="1:5" x14ac:dyDescent="0.25">
      <c r="A82" s="25"/>
      <c r="B82" s="28"/>
      <c r="C82" s="28"/>
      <c r="D82" s="148"/>
      <c r="E82" s="148"/>
    </row>
    <row r="83" spans="1:5" x14ac:dyDescent="0.25">
      <c r="A83" s="25"/>
      <c r="B83" s="28"/>
      <c r="C83" s="28"/>
      <c r="D83" s="148"/>
      <c r="E83" s="148"/>
    </row>
    <row r="84" spans="1:5" x14ac:dyDescent="0.25">
      <c r="A84" s="26"/>
      <c r="B84" s="28"/>
      <c r="C84" s="28"/>
      <c r="D84" s="148"/>
      <c r="E84" s="148"/>
    </row>
    <row r="85" spans="1:5" x14ac:dyDescent="0.25">
      <c r="A85" s="26"/>
      <c r="B85" s="35"/>
      <c r="C85" s="35"/>
      <c r="D85" s="150"/>
      <c r="E85" s="15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900A-A1A4-4532-BA67-591AEB0BA471}">
  <dimension ref="A2:K57"/>
  <sheetViews>
    <sheetView topLeftCell="A27" workbookViewId="0">
      <selection activeCell="C34" sqref="C34"/>
    </sheetView>
  </sheetViews>
  <sheetFormatPr defaultRowHeight="13.2" x14ac:dyDescent="0.25"/>
  <cols>
    <col min="1" max="1" width="46.6640625" bestFit="1" customWidth="1"/>
    <col min="2" max="2" width="13.109375" hidden="1" customWidth="1"/>
    <col min="3" max="3" width="12.44140625" customWidth="1"/>
    <col min="4" max="4" width="13.109375" hidden="1" customWidth="1"/>
    <col min="5" max="5" width="12.44140625" customWidth="1"/>
    <col min="6" max="6" width="13.109375" hidden="1" customWidth="1"/>
    <col min="7" max="7" width="12.44140625" customWidth="1"/>
    <col min="8" max="8" width="13.109375" hidden="1" customWidth="1"/>
    <col min="9" max="9" width="12.44140625" customWidth="1"/>
    <col min="10" max="10" width="13.109375" hidden="1" customWidth="1"/>
    <col min="11" max="11" width="14.33203125" bestFit="1" customWidth="1"/>
  </cols>
  <sheetData>
    <row r="2" spans="1:11" x14ac:dyDescent="0.25">
      <c r="A2" s="177" t="s">
        <v>0</v>
      </c>
      <c r="B2" s="178">
        <v>2021</v>
      </c>
      <c r="C2" s="178">
        <v>2021</v>
      </c>
      <c r="D2" s="178">
        <v>2020</v>
      </c>
      <c r="E2" s="178">
        <v>2020</v>
      </c>
      <c r="F2" s="178">
        <v>2019</v>
      </c>
      <c r="G2" s="178">
        <v>2019</v>
      </c>
      <c r="H2" s="178">
        <v>2018</v>
      </c>
      <c r="I2" s="178">
        <v>2018</v>
      </c>
      <c r="J2" s="178">
        <v>2017</v>
      </c>
      <c r="K2" s="189">
        <v>2017</v>
      </c>
    </row>
    <row r="3" spans="1:11" x14ac:dyDescent="0.25">
      <c r="A3" s="176" t="s">
        <v>41</v>
      </c>
      <c r="B3" s="179">
        <v>44971836150</v>
      </c>
      <c r="C3" s="129">
        <f>B3/$B$3</f>
        <v>1</v>
      </c>
      <c r="D3" s="179">
        <v>27304991323</v>
      </c>
      <c r="E3" s="129">
        <f>ABS(D3/$D$3)</f>
        <v>1</v>
      </c>
      <c r="F3" s="179">
        <v>30828088786</v>
      </c>
      <c r="G3" s="129">
        <f>ABS(F3/$F$3)</f>
        <v>1</v>
      </c>
      <c r="H3" s="179">
        <v>22225842588</v>
      </c>
      <c r="I3" s="129">
        <f>ABS(H3/$H$3)</f>
        <v>1</v>
      </c>
      <c r="J3" s="179">
        <v>18802810936</v>
      </c>
      <c r="K3" s="129">
        <f>ABS(J3/$J$3)</f>
        <v>1</v>
      </c>
    </row>
    <row r="4" spans="1:11" x14ac:dyDescent="0.25">
      <c r="A4" s="176" t="s">
        <v>42</v>
      </c>
      <c r="B4" s="179">
        <v>-38280467988</v>
      </c>
      <c r="C4" s="129">
        <f>ABS(B4/$B$3)</f>
        <v>0.85120980740743002</v>
      </c>
      <c r="D4" s="179">
        <v>-24687542736</v>
      </c>
      <c r="E4" s="129">
        <f t="shared" ref="E4:E26" si="0">ABS(D4/$D$3)</f>
        <v>0.90414028863670703</v>
      </c>
      <c r="F4" s="179">
        <v>-27639095197</v>
      </c>
      <c r="G4" s="129">
        <f t="shared" ref="G4:G26" si="1">ABS(F4/$F$3)</f>
        <v>0.89655558568235916</v>
      </c>
      <c r="H4" s="179">
        <v>-19431430949</v>
      </c>
      <c r="I4" s="129">
        <f t="shared" ref="I4:I26" si="2">ABS(H4/$H$3)</f>
        <v>0.8742719594122953</v>
      </c>
      <c r="J4" s="179">
        <v>-16837364157</v>
      </c>
      <c r="K4" s="129">
        <f t="shared" ref="K4:K26" si="3">ABS(J4/$J$3)</f>
        <v>0.89547058757917197</v>
      </c>
    </row>
    <row r="5" spans="1:11" x14ac:dyDescent="0.25">
      <c r="A5" s="177" t="s">
        <v>43</v>
      </c>
      <c r="B5" s="179">
        <v>6691368162</v>
      </c>
      <c r="C5" s="129">
        <f t="shared" ref="C5:C26" si="4">ABS(B5/$B$3)</f>
        <v>0.14879019259256995</v>
      </c>
      <c r="D5" s="179">
        <v>2617448587</v>
      </c>
      <c r="E5" s="129">
        <f t="shared" si="0"/>
        <v>9.5859711363293007E-2</v>
      </c>
      <c r="F5" s="179">
        <v>3188993589</v>
      </c>
      <c r="G5" s="129">
        <f t="shared" si="1"/>
        <v>0.10344441431764079</v>
      </c>
      <c r="H5" s="179">
        <v>2794411639</v>
      </c>
      <c r="I5" s="129">
        <f t="shared" si="2"/>
        <v>0.1257280405877047</v>
      </c>
      <c r="J5" s="179">
        <v>1965446779</v>
      </c>
      <c r="K5" s="129">
        <f t="shared" si="3"/>
        <v>0.10452941242082806</v>
      </c>
    </row>
    <row r="6" spans="1:11" x14ac:dyDescent="0.25">
      <c r="A6" s="176" t="s">
        <v>44</v>
      </c>
      <c r="B6" s="179">
        <v>-254310408</v>
      </c>
      <c r="C6" s="129">
        <f t="shared" si="4"/>
        <v>5.654881583037165E-3</v>
      </c>
      <c r="D6" s="179">
        <v>-143886023</v>
      </c>
      <c r="E6" s="129">
        <f t="shared" si="0"/>
        <v>5.269586842124337E-3</v>
      </c>
      <c r="F6" s="179">
        <v>-201591683</v>
      </c>
      <c r="G6" s="129">
        <f t="shared" si="1"/>
        <v>6.5392209163335838E-3</v>
      </c>
      <c r="H6" s="179">
        <v>-246333068</v>
      </c>
      <c r="I6" s="129">
        <f t="shared" si="2"/>
        <v>1.1083182427153435E-2</v>
      </c>
      <c r="J6" s="179">
        <v>-164048993</v>
      </c>
      <c r="K6" s="129">
        <f t="shared" si="3"/>
        <v>8.7247057665144415E-3</v>
      </c>
    </row>
    <row r="7" spans="1:11" x14ac:dyDescent="0.25">
      <c r="A7" s="176" t="s">
        <v>45</v>
      </c>
      <c r="B7" s="179">
        <v>-537896276</v>
      </c>
      <c r="C7" s="129">
        <f t="shared" si="4"/>
        <v>1.196073636410774E-2</v>
      </c>
      <c r="D7" s="179">
        <v>-407031747</v>
      </c>
      <c r="E7" s="129">
        <f t="shared" si="0"/>
        <v>1.4906862345608665E-2</v>
      </c>
      <c r="F7" s="179">
        <v>-366851773</v>
      </c>
      <c r="G7" s="129">
        <f t="shared" si="1"/>
        <v>1.18999194386192E-2</v>
      </c>
      <c r="H7" s="179">
        <v>-312900945</v>
      </c>
      <c r="I7" s="129">
        <f t="shared" si="2"/>
        <v>1.4078248946518634E-2</v>
      </c>
      <c r="J7" s="179">
        <v>-265074820</v>
      </c>
      <c r="K7" s="129">
        <f t="shared" si="3"/>
        <v>1.4097616622442648E-2</v>
      </c>
    </row>
    <row r="8" spans="1:11" x14ac:dyDescent="0.25">
      <c r="A8" s="176" t="s">
        <v>46</v>
      </c>
      <c r="B8" s="179">
        <v>-379245548</v>
      </c>
      <c r="C8" s="129">
        <f t="shared" si="4"/>
        <v>8.4329567228488625E-3</v>
      </c>
      <c r="D8" s="179">
        <v>-53449687</v>
      </c>
      <c r="E8" s="129">
        <f t="shared" si="0"/>
        <v>1.9575060972452079E-3</v>
      </c>
      <c r="F8" s="179">
        <v>-123486662</v>
      </c>
      <c r="G8" s="129">
        <f t="shared" si="1"/>
        <v>4.0056541570646816E-3</v>
      </c>
      <c r="H8" s="179">
        <v>-113689603</v>
      </c>
      <c r="I8" s="129">
        <f t="shared" si="2"/>
        <v>5.1151987849217644E-3</v>
      </c>
      <c r="J8" s="179">
        <v>-84982818</v>
      </c>
      <c r="K8" s="129">
        <f t="shared" si="3"/>
        <v>4.5196868856076872E-3</v>
      </c>
    </row>
    <row r="9" spans="1:11" x14ac:dyDescent="0.25">
      <c r="A9" s="176" t="s">
        <v>47</v>
      </c>
      <c r="B9" s="179">
        <v>-54959050</v>
      </c>
      <c r="C9" s="129">
        <f t="shared" si="4"/>
        <v>1.2220770754542564E-3</v>
      </c>
      <c r="D9" s="179">
        <v>-3356549</v>
      </c>
      <c r="E9" s="129">
        <f t="shared" si="0"/>
        <v>1.2292803759921561E-4</v>
      </c>
      <c r="F9" s="179">
        <v>-3310221</v>
      </c>
      <c r="G9" s="129">
        <f t="shared" si="1"/>
        <v>1.073767830039232E-4</v>
      </c>
      <c r="H9" s="179">
        <v>-1663874</v>
      </c>
      <c r="I9" s="129">
        <f t="shared" si="2"/>
        <v>7.4862133726185279E-5</v>
      </c>
      <c r="J9" s="179">
        <v>6468003</v>
      </c>
      <c r="K9" s="129">
        <f t="shared" si="3"/>
        <v>3.4399127992167989E-4</v>
      </c>
    </row>
    <row r="10" spans="1:11" x14ac:dyDescent="0.25">
      <c r="A10" s="176" t="s">
        <v>48</v>
      </c>
      <c r="B10" s="179">
        <v>66824889</v>
      </c>
      <c r="C10" s="129">
        <f t="shared" si="4"/>
        <v>1.4859275208846459E-3</v>
      </c>
      <c r="D10" s="179">
        <v>58788294</v>
      </c>
      <c r="E10" s="129">
        <f t="shared" si="0"/>
        <v>2.1530237202632054E-3</v>
      </c>
      <c r="F10" s="179">
        <v>29998500</v>
      </c>
      <c r="G10" s="129">
        <f t="shared" si="1"/>
        <v>9.7308984051010185E-4</v>
      </c>
      <c r="H10" s="179">
        <v>36364018</v>
      </c>
      <c r="I10" s="129">
        <f t="shared" si="2"/>
        <v>1.636114260056596E-3</v>
      </c>
      <c r="J10" s="179">
        <v>33976939</v>
      </c>
      <c r="K10" s="129">
        <f t="shared" si="3"/>
        <v>1.8070138085017652E-3</v>
      </c>
    </row>
    <row r="11" spans="1:11" x14ac:dyDescent="0.25">
      <c r="A11" s="176" t="s">
        <v>49</v>
      </c>
      <c r="B11" s="179">
        <v>-1370293957</v>
      </c>
      <c r="C11" s="129">
        <f t="shared" si="4"/>
        <v>3.0470046907346476E-2</v>
      </c>
      <c r="D11" s="179">
        <v>-1514785880</v>
      </c>
      <c r="E11" s="129">
        <f t="shared" si="0"/>
        <v>5.5476519368971196E-2</v>
      </c>
      <c r="F11" s="179">
        <v>-786328489</v>
      </c>
      <c r="G11" s="129">
        <f t="shared" si="1"/>
        <v>2.5506884142525773E-2</v>
      </c>
      <c r="H11" s="179">
        <v>-552460231</v>
      </c>
      <c r="I11" s="129">
        <f t="shared" si="2"/>
        <v>2.4856660835809209E-2</v>
      </c>
      <c r="J11" s="179">
        <v>-256551296</v>
      </c>
      <c r="K11" s="129">
        <f t="shared" si="3"/>
        <v>1.3644305464392294E-2</v>
      </c>
    </row>
    <row r="12" spans="1:11" x14ac:dyDescent="0.25">
      <c r="A12" s="176"/>
      <c r="B12" s="179">
        <v>-2529880350</v>
      </c>
      <c r="C12" s="129">
        <f t="shared" si="4"/>
        <v>5.6254771131909853E-2</v>
      </c>
      <c r="D12" s="179">
        <v>-2063721592</v>
      </c>
      <c r="E12" s="129">
        <f t="shared" si="0"/>
        <v>7.5580378971285417E-2</v>
      </c>
      <c r="F12" s="179">
        <v>-1451570328</v>
      </c>
      <c r="G12" s="129">
        <f t="shared" si="1"/>
        <v>4.7085965597037059E-2</v>
      </c>
      <c r="H12" s="179">
        <v>-1190683703</v>
      </c>
      <c r="I12" s="129">
        <f t="shared" si="2"/>
        <v>5.357203886807263E-2</v>
      </c>
      <c r="J12" s="179">
        <v>-743148991</v>
      </c>
      <c r="K12" s="129">
        <f t="shared" si="3"/>
        <v>3.9523292210376988E-2</v>
      </c>
    </row>
    <row r="13" spans="1:11" x14ac:dyDescent="0.25">
      <c r="A13" s="177" t="s">
        <v>50</v>
      </c>
      <c r="B13" s="179">
        <v>4161487812</v>
      </c>
      <c r="C13" s="129">
        <f t="shared" si="4"/>
        <v>9.2535421460660114E-2</v>
      </c>
      <c r="D13" s="179">
        <v>553726995</v>
      </c>
      <c r="E13" s="129">
        <f t="shared" si="0"/>
        <v>2.0279332392007587E-2</v>
      </c>
      <c r="F13" s="179">
        <v>1737423261</v>
      </c>
      <c r="G13" s="129">
        <f t="shared" si="1"/>
        <v>5.6358448720603735E-2</v>
      </c>
      <c r="H13" s="179">
        <v>1603727936</v>
      </c>
      <c r="I13" s="129">
        <f t="shared" si="2"/>
        <v>7.2156001719632087E-2</v>
      </c>
      <c r="J13" s="179">
        <v>1222297788</v>
      </c>
      <c r="K13" s="129">
        <f t="shared" si="3"/>
        <v>6.5006120210451074E-2</v>
      </c>
    </row>
    <row r="14" spans="1:11" x14ac:dyDescent="0.25">
      <c r="A14" s="176" t="s">
        <v>51</v>
      </c>
      <c r="B14" s="179">
        <v>-732338116</v>
      </c>
      <c r="C14" s="129">
        <f t="shared" si="4"/>
        <v>1.6284372146988711E-2</v>
      </c>
      <c r="D14" s="179">
        <v>39145070</v>
      </c>
      <c r="E14" s="129">
        <f t="shared" si="0"/>
        <v>1.4336232352883652E-3</v>
      </c>
      <c r="F14" s="179">
        <v>-364492082</v>
      </c>
      <c r="G14" s="129">
        <f t="shared" si="1"/>
        <v>1.1823375900147506E-2</v>
      </c>
      <c r="H14" s="179">
        <v>-313513004</v>
      </c>
      <c r="I14" s="129">
        <f t="shared" si="2"/>
        <v>1.4105787115097695E-2</v>
      </c>
      <c r="J14" s="179">
        <v>-231537873</v>
      </c>
      <c r="K14" s="129">
        <f t="shared" si="3"/>
        <v>1.231400314496041E-2</v>
      </c>
    </row>
    <row r="15" spans="1:11" x14ac:dyDescent="0.25">
      <c r="A15" s="177" t="s">
        <v>52</v>
      </c>
      <c r="B15" s="179">
        <v>3429149696</v>
      </c>
      <c r="C15" s="129">
        <f t="shared" si="4"/>
        <v>7.6251049313671396E-2</v>
      </c>
      <c r="D15" s="179">
        <v>592872065</v>
      </c>
      <c r="E15" s="129">
        <f t="shared" si="0"/>
        <v>2.1712955627295954E-2</v>
      </c>
      <c r="F15" s="179">
        <v>1372931179</v>
      </c>
      <c r="G15" s="129">
        <f t="shared" si="1"/>
        <v>4.4535072820456226E-2</v>
      </c>
      <c r="H15" s="179">
        <v>1290214932</v>
      </c>
      <c r="I15" s="129">
        <f t="shared" si="2"/>
        <v>5.8050214604534391E-2</v>
      </c>
      <c r="J15" s="179">
        <v>990759915</v>
      </c>
      <c r="K15" s="129">
        <f t="shared" si="3"/>
        <v>5.2692117065490658E-2</v>
      </c>
    </row>
    <row r="16" spans="1:11" x14ac:dyDescent="0.25">
      <c r="A16" s="177" t="s">
        <v>39</v>
      </c>
      <c r="B16" s="179"/>
      <c r="C16" s="129"/>
      <c r="D16" s="179"/>
      <c r="E16" s="129"/>
      <c r="F16" s="179"/>
      <c r="G16" s="129"/>
      <c r="H16" s="179"/>
      <c r="I16" s="129"/>
      <c r="J16" s="179"/>
      <c r="K16" s="129"/>
    </row>
    <row r="17" spans="1:11" x14ac:dyDescent="0.25">
      <c r="A17" s="176" t="s">
        <v>53</v>
      </c>
      <c r="B17" s="179" t="s">
        <v>19</v>
      </c>
      <c r="C17" s="129"/>
      <c r="D17" s="179" t="s">
        <v>19</v>
      </c>
      <c r="E17" s="129"/>
      <c r="F17" s="179"/>
      <c r="G17" s="129"/>
      <c r="H17" s="179"/>
      <c r="I17" s="129"/>
      <c r="J17" s="179"/>
      <c r="K17" s="129"/>
    </row>
    <row r="18" spans="1:11" x14ac:dyDescent="0.25">
      <c r="A18" s="176" t="s">
        <v>54</v>
      </c>
      <c r="B18" s="179"/>
      <c r="C18" s="129"/>
      <c r="D18" s="179"/>
      <c r="E18" s="129"/>
      <c r="F18" s="179"/>
      <c r="G18" s="129"/>
      <c r="H18" s="179"/>
      <c r="I18" s="129"/>
      <c r="J18" s="179"/>
      <c r="K18" s="129"/>
    </row>
    <row r="19" spans="1:11" x14ac:dyDescent="0.25">
      <c r="A19" s="176" t="s">
        <v>55</v>
      </c>
      <c r="B19" s="179">
        <v>-35575214</v>
      </c>
      <c r="C19" s="129">
        <f t="shared" si="4"/>
        <v>7.9105540368291146E-4</v>
      </c>
      <c r="D19" s="179">
        <v>40168772</v>
      </c>
      <c r="E19" s="129">
        <f t="shared" si="0"/>
        <v>1.4711146224084079E-3</v>
      </c>
      <c r="F19" s="179">
        <v>-27712063</v>
      </c>
      <c r="G19" s="129">
        <f t="shared" si="1"/>
        <v>8.9892251162144424E-4</v>
      </c>
      <c r="H19" s="179">
        <v>-14113625</v>
      </c>
      <c r="I19" s="129">
        <f t="shared" si="2"/>
        <v>6.3500967147225797E-4</v>
      </c>
      <c r="J19" s="179">
        <v>-5854525</v>
      </c>
      <c r="K19" s="129">
        <f t="shared" si="3"/>
        <v>3.1136434972022631E-4</v>
      </c>
    </row>
    <row r="20" spans="1:11" x14ac:dyDescent="0.25">
      <c r="A20" s="176" t="s">
        <v>56</v>
      </c>
      <c r="B20" s="179">
        <v>10316812</v>
      </c>
      <c r="C20" s="129">
        <f t="shared" si="4"/>
        <v>2.2940606573387598E-4</v>
      </c>
      <c r="D20" s="179">
        <v>-11648944</v>
      </c>
      <c r="E20" s="129">
        <f t="shared" si="0"/>
        <v>4.266232448932392E-4</v>
      </c>
      <c r="F20" s="179">
        <v>8036498</v>
      </c>
      <c r="G20" s="129">
        <f t="shared" si="1"/>
        <v>2.6068751961197238E-4</v>
      </c>
      <c r="H20" s="179">
        <v>4092951</v>
      </c>
      <c r="I20" s="129">
        <f t="shared" si="2"/>
        <v>1.8415279347878732E-4</v>
      </c>
      <c r="J20" s="179">
        <v>1756358</v>
      </c>
      <c r="K20" s="129">
        <f t="shared" si="3"/>
        <v>9.340933150783663E-5</v>
      </c>
    </row>
    <row r="21" spans="1:11" x14ac:dyDescent="0.25">
      <c r="A21" s="176"/>
      <c r="B21" s="179">
        <v>-25258402</v>
      </c>
      <c r="C21" s="129">
        <f t="shared" si="4"/>
        <v>5.6164933794903551E-4</v>
      </c>
      <c r="D21" s="179">
        <v>28519828</v>
      </c>
      <c r="E21" s="129">
        <f t="shared" si="0"/>
        <v>1.0444913775151687E-3</v>
      </c>
      <c r="F21" s="179">
        <f>F19+F20</f>
        <v>-19675565</v>
      </c>
      <c r="G21" s="129">
        <f t="shared" si="1"/>
        <v>6.3823499200947186E-4</v>
      </c>
      <c r="H21" s="179">
        <f>H19+H20</f>
        <v>-10020674</v>
      </c>
      <c r="I21" s="129">
        <f t="shared" si="2"/>
        <v>4.5085687799347065E-4</v>
      </c>
      <c r="J21" s="179">
        <f>J19+J20</f>
        <v>-4098167</v>
      </c>
      <c r="K21" s="129">
        <f t="shared" si="3"/>
        <v>2.179550182123897E-4</v>
      </c>
    </row>
    <row r="22" spans="1:11" x14ac:dyDescent="0.25">
      <c r="A22" s="176" t="s">
        <v>57</v>
      </c>
      <c r="B22" s="179">
        <v>4684650374</v>
      </c>
      <c r="C22" s="129">
        <f t="shared" si="4"/>
        <v>0.10416853691218476</v>
      </c>
      <c r="D22" s="179" t="s">
        <v>19</v>
      </c>
      <c r="E22" s="129"/>
      <c r="F22" s="179"/>
      <c r="G22" s="129"/>
      <c r="H22" s="179"/>
      <c r="I22" s="129"/>
      <c r="J22" s="179"/>
      <c r="K22" s="129"/>
    </row>
    <row r="23" spans="1:11" x14ac:dyDescent="0.25">
      <c r="A23" s="176" t="s">
        <v>56</v>
      </c>
      <c r="B23" s="179">
        <v>-1212338109</v>
      </c>
      <c r="C23" s="129">
        <f t="shared" si="4"/>
        <v>2.6957718714360299E-2</v>
      </c>
      <c r="D23" s="179" t="s">
        <v>19</v>
      </c>
      <c r="E23" s="129"/>
      <c r="F23" s="179"/>
      <c r="G23" s="129"/>
      <c r="H23" s="179"/>
      <c r="I23" s="129"/>
      <c r="J23" s="179"/>
      <c r="K23" s="129"/>
    </row>
    <row r="24" spans="1:11" x14ac:dyDescent="0.25">
      <c r="A24" s="176"/>
      <c r="B24" s="179">
        <v>3472312265</v>
      </c>
      <c r="C24" s="129">
        <f t="shared" si="4"/>
        <v>7.7210818197824466E-2</v>
      </c>
      <c r="D24" s="179" t="s">
        <v>19</v>
      </c>
      <c r="E24" s="129"/>
      <c r="F24" s="179"/>
      <c r="G24" s="129"/>
      <c r="H24" s="179"/>
      <c r="I24" s="129"/>
      <c r="J24" s="179"/>
      <c r="K24" s="129"/>
    </row>
    <row r="25" spans="1:11" x14ac:dyDescent="0.25">
      <c r="A25" s="176" t="s">
        <v>58</v>
      </c>
      <c r="B25" s="179">
        <v>3447053863</v>
      </c>
      <c r="C25" s="129">
        <f t="shared" si="4"/>
        <v>7.6649168859875424E-2</v>
      </c>
      <c r="D25" s="179">
        <v>28519828</v>
      </c>
      <c r="E25" s="129">
        <f t="shared" si="0"/>
        <v>1.0444913775151687E-3</v>
      </c>
      <c r="F25" s="179">
        <v>-19675565</v>
      </c>
      <c r="G25" s="129">
        <f t="shared" si="1"/>
        <v>6.3823499200947186E-4</v>
      </c>
      <c r="H25" s="179">
        <v>-10020674</v>
      </c>
      <c r="I25" s="129">
        <f t="shared" si="2"/>
        <v>4.5085687799347065E-4</v>
      </c>
      <c r="J25" s="179">
        <v>-4098167</v>
      </c>
      <c r="K25" s="129">
        <f t="shared" si="3"/>
        <v>2.179550182123897E-4</v>
      </c>
    </row>
    <row r="26" spans="1:11" x14ac:dyDescent="0.25">
      <c r="A26" s="177" t="s">
        <v>59</v>
      </c>
      <c r="B26" s="179">
        <v>6876203559</v>
      </c>
      <c r="C26" s="129">
        <f t="shared" si="4"/>
        <v>0.15290021817354682</v>
      </c>
      <c r="D26" s="179">
        <v>621391893</v>
      </c>
      <c r="E26" s="129">
        <f t="shared" si="0"/>
        <v>2.275744700481112E-2</v>
      </c>
      <c r="F26" s="179">
        <v>1353255614</v>
      </c>
      <c r="G26" s="129">
        <f t="shared" si="1"/>
        <v>4.3896837828446757E-2</v>
      </c>
      <c r="H26" s="179">
        <v>1280194258</v>
      </c>
      <c r="I26" s="129">
        <f t="shared" si="2"/>
        <v>5.7599357726540922E-2</v>
      </c>
      <c r="J26" s="179">
        <v>986661748</v>
      </c>
      <c r="K26" s="129">
        <f t="shared" si="3"/>
        <v>5.2474162047278269E-2</v>
      </c>
    </row>
    <row r="27" spans="1:11" x14ac:dyDescent="0.25">
      <c r="A27" s="176"/>
      <c r="B27" s="176"/>
      <c r="C27" s="176"/>
      <c r="D27" s="176"/>
      <c r="E27" s="129"/>
      <c r="F27" s="176"/>
      <c r="G27" s="129"/>
      <c r="H27" s="176"/>
      <c r="I27" s="129"/>
      <c r="J27" s="176"/>
      <c r="K27" s="129"/>
    </row>
    <row r="28" spans="1:11" x14ac:dyDescent="0.25">
      <c r="A28" s="177" t="s">
        <v>60</v>
      </c>
      <c r="B28" s="180">
        <v>12.85</v>
      </c>
      <c r="C28" s="188">
        <f>B28/B3</f>
        <v>2.8573438623097001E-10</v>
      </c>
      <c r="D28" s="188">
        <v>2.25</v>
      </c>
      <c r="E28" s="188">
        <f t="shared" ref="E28" si="5">D28/$D$3</f>
        <v>8.2402516572299447E-11</v>
      </c>
      <c r="F28" s="188">
        <v>5.46</v>
      </c>
      <c r="G28" s="188">
        <f t="shared" ref="G28" si="6">F28/$F$3</f>
        <v>1.7711120653316519E-10</v>
      </c>
      <c r="H28" s="188">
        <v>5.13</v>
      </c>
      <c r="I28" s="188">
        <f t="shared" ref="I28" si="7">H28/$H$3</f>
        <v>2.3081239686137922E-10</v>
      </c>
      <c r="J28" s="188">
        <v>4.21</v>
      </c>
      <c r="K28" s="188">
        <f t="shared" ref="K28" si="8">J28/$J$3</f>
        <v>2.2390269275853341E-10</v>
      </c>
    </row>
    <row r="31" spans="1:11" x14ac:dyDescent="0.25">
      <c r="A31" t="s">
        <v>0</v>
      </c>
      <c r="B31">
        <v>2021</v>
      </c>
      <c r="C31">
        <v>2021</v>
      </c>
      <c r="D31">
        <v>2020</v>
      </c>
      <c r="E31">
        <v>2020</v>
      </c>
      <c r="F31">
        <v>2019</v>
      </c>
      <c r="G31">
        <v>2019</v>
      </c>
      <c r="H31">
        <v>2018</v>
      </c>
      <c r="I31">
        <v>2018</v>
      </c>
      <c r="J31">
        <v>2017</v>
      </c>
      <c r="K31">
        <v>2017</v>
      </c>
    </row>
    <row r="32" spans="1:11" x14ac:dyDescent="0.25">
      <c r="A32" t="s">
        <v>41</v>
      </c>
      <c r="B32">
        <v>44971836150</v>
      </c>
      <c r="C32" s="129">
        <v>1</v>
      </c>
      <c r="D32" s="129">
        <v>27304991323</v>
      </c>
      <c r="E32" s="129">
        <v>1</v>
      </c>
      <c r="F32" s="129">
        <v>30828088786</v>
      </c>
      <c r="G32" s="129">
        <v>1</v>
      </c>
      <c r="H32" s="129">
        <v>22225842588</v>
      </c>
      <c r="I32" s="129">
        <v>1</v>
      </c>
      <c r="J32" s="129">
        <v>18802810936</v>
      </c>
      <c r="K32" s="129">
        <v>1</v>
      </c>
    </row>
    <row r="33" spans="1:11" x14ac:dyDescent="0.25">
      <c r="A33" t="s">
        <v>42</v>
      </c>
      <c r="B33">
        <v>-38280467988</v>
      </c>
      <c r="C33" s="129">
        <v>0.85120980740743002</v>
      </c>
      <c r="D33" s="129">
        <v>-24687542736</v>
      </c>
      <c r="E33" s="129">
        <v>0.90414028863670703</v>
      </c>
      <c r="F33" s="129">
        <v>-27639095197</v>
      </c>
      <c r="G33" s="129">
        <v>0.89655558568235916</v>
      </c>
      <c r="H33" s="129">
        <v>-19431430949</v>
      </c>
      <c r="I33" s="129">
        <v>0.8742719594122953</v>
      </c>
      <c r="J33" s="129">
        <v>-16837364157</v>
      </c>
      <c r="K33" s="129">
        <v>0.89547058757917197</v>
      </c>
    </row>
    <row r="34" spans="1:11" x14ac:dyDescent="0.25">
      <c r="A34" t="s">
        <v>43</v>
      </c>
      <c r="B34">
        <v>6691368162</v>
      </c>
      <c r="C34" s="129">
        <v>0.14879019259256995</v>
      </c>
      <c r="D34" s="129">
        <v>2617448587</v>
      </c>
      <c r="E34" s="129">
        <v>9.5859711363293007E-2</v>
      </c>
      <c r="F34" s="129">
        <v>3188993589</v>
      </c>
      <c r="G34" s="129">
        <v>0.10344441431764079</v>
      </c>
      <c r="H34" s="129">
        <v>2794411639</v>
      </c>
      <c r="I34" s="129">
        <v>0.1257280405877047</v>
      </c>
      <c r="J34" s="129">
        <v>1965446779</v>
      </c>
      <c r="K34" s="129">
        <v>0.10452941242082806</v>
      </c>
    </row>
    <row r="35" spans="1:11" x14ac:dyDescent="0.25">
      <c r="A35" t="s">
        <v>44</v>
      </c>
      <c r="B35">
        <v>-254310408</v>
      </c>
      <c r="C35" s="129">
        <v>5.654881583037165E-3</v>
      </c>
      <c r="D35" s="129">
        <v>-143886023</v>
      </c>
      <c r="E35" s="129">
        <v>5.269586842124337E-3</v>
      </c>
      <c r="F35" s="129">
        <v>-201591683</v>
      </c>
      <c r="G35" s="129">
        <v>6.5392209163335838E-3</v>
      </c>
      <c r="H35" s="129">
        <v>-246333068</v>
      </c>
      <c r="I35" s="129">
        <v>1.1083182427153435E-2</v>
      </c>
      <c r="J35" s="129">
        <v>-164048993</v>
      </c>
      <c r="K35" s="129">
        <v>8.7247057665144415E-3</v>
      </c>
    </row>
    <row r="36" spans="1:11" x14ac:dyDescent="0.25">
      <c r="A36" t="s">
        <v>45</v>
      </c>
      <c r="B36">
        <v>-537896276</v>
      </c>
      <c r="C36" s="129">
        <v>1.196073636410774E-2</v>
      </c>
      <c r="D36" s="129">
        <v>-407031747</v>
      </c>
      <c r="E36" s="129">
        <v>1.4906862345608665E-2</v>
      </c>
      <c r="F36" s="129">
        <v>-366851773</v>
      </c>
      <c r="G36" s="129">
        <v>1.18999194386192E-2</v>
      </c>
      <c r="H36" s="129">
        <v>-312900945</v>
      </c>
      <c r="I36" s="129">
        <v>1.4078248946518634E-2</v>
      </c>
      <c r="J36" s="129">
        <v>-265074820</v>
      </c>
      <c r="K36" s="129">
        <v>1.4097616622442648E-2</v>
      </c>
    </row>
    <row r="37" spans="1:11" x14ac:dyDescent="0.25">
      <c r="A37" t="s">
        <v>46</v>
      </c>
      <c r="B37">
        <v>-379245548</v>
      </c>
      <c r="C37" s="129">
        <v>8.4329567228488625E-3</v>
      </c>
      <c r="D37" s="129">
        <v>-53449687</v>
      </c>
      <c r="E37" s="129">
        <v>1.9575060972452079E-3</v>
      </c>
      <c r="F37" s="129">
        <v>-123486662</v>
      </c>
      <c r="G37" s="129">
        <v>4.0056541570646816E-3</v>
      </c>
      <c r="H37" s="129">
        <v>-113689603</v>
      </c>
      <c r="I37" s="129">
        <v>5.1151987849217644E-3</v>
      </c>
      <c r="J37" s="129">
        <v>-84982818</v>
      </c>
      <c r="K37" s="129">
        <v>4.5196868856076872E-3</v>
      </c>
    </row>
    <row r="38" spans="1:11" x14ac:dyDescent="0.25">
      <c r="A38" t="s">
        <v>47</v>
      </c>
      <c r="B38">
        <v>-54959050</v>
      </c>
      <c r="C38" s="129">
        <v>1.2220770754542564E-3</v>
      </c>
      <c r="D38" s="129">
        <v>-3356549</v>
      </c>
      <c r="E38" s="129">
        <v>1.2292803759921561E-4</v>
      </c>
      <c r="F38" s="129">
        <v>-3310221</v>
      </c>
      <c r="G38" s="129">
        <v>1.073767830039232E-4</v>
      </c>
      <c r="H38" s="129">
        <v>-1663874</v>
      </c>
      <c r="I38" s="129">
        <v>7.4862133726185279E-5</v>
      </c>
      <c r="J38" s="129">
        <v>6468003</v>
      </c>
      <c r="K38" s="129">
        <v>3.4399127992167989E-4</v>
      </c>
    </row>
    <row r="39" spans="1:11" x14ac:dyDescent="0.25">
      <c r="A39" t="s">
        <v>48</v>
      </c>
      <c r="B39">
        <v>66824889</v>
      </c>
      <c r="C39" s="129">
        <v>1.4859275208846459E-3</v>
      </c>
      <c r="D39" s="129">
        <v>58788294</v>
      </c>
      <c r="E39" s="129">
        <v>2.1530237202632054E-3</v>
      </c>
      <c r="F39" s="129">
        <v>29998500</v>
      </c>
      <c r="G39" s="129">
        <v>9.7308984051010185E-4</v>
      </c>
      <c r="H39" s="129">
        <v>36364018</v>
      </c>
      <c r="I39" s="129">
        <v>1.636114260056596E-3</v>
      </c>
      <c r="J39" s="129">
        <v>33976939</v>
      </c>
      <c r="K39" s="129">
        <v>1.8070138085017652E-3</v>
      </c>
    </row>
    <row r="40" spans="1:11" x14ac:dyDescent="0.25">
      <c r="A40" t="s">
        <v>49</v>
      </c>
      <c r="B40">
        <v>-1370293957</v>
      </c>
      <c r="C40" s="129">
        <v>3.0470046907346476E-2</v>
      </c>
      <c r="D40" s="129">
        <v>-1514785880</v>
      </c>
      <c r="E40" s="129">
        <v>5.5476519368971196E-2</v>
      </c>
      <c r="F40" s="129">
        <v>-786328489</v>
      </c>
      <c r="G40" s="129">
        <v>2.5506884142525773E-2</v>
      </c>
      <c r="H40" s="129">
        <v>-552460231</v>
      </c>
      <c r="I40" s="129">
        <v>2.4856660835809209E-2</v>
      </c>
      <c r="J40" s="129">
        <v>-256551296</v>
      </c>
      <c r="K40" s="129">
        <v>1.3644305464392294E-2</v>
      </c>
    </row>
    <row r="41" spans="1:11" x14ac:dyDescent="0.25">
      <c r="B41">
        <v>-2529880350</v>
      </c>
      <c r="C41" s="129">
        <v>5.6254771131909853E-2</v>
      </c>
      <c r="D41" s="129">
        <v>-2063721592</v>
      </c>
      <c r="E41" s="129">
        <v>7.5580378971285417E-2</v>
      </c>
      <c r="F41" s="129">
        <v>-1451570328</v>
      </c>
      <c r="G41" s="129">
        <v>4.7085965597037059E-2</v>
      </c>
      <c r="H41" s="129">
        <v>-1190683703</v>
      </c>
      <c r="I41" s="129">
        <v>5.357203886807263E-2</v>
      </c>
      <c r="J41" s="129">
        <v>-743148991</v>
      </c>
      <c r="K41" s="129">
        <v>3.9523292210376988E-2</v>
      </c>
    </row>
    <row r="42" spans="1:11" x14ac:dyDescent="0.25">
      <c r="A42" t="s">
        <v>50</v>
      </c>
      <c r="B42">
        <v>4161487812</v>
      </c>
      <c r="C42" s="129">
        <v>9.2535421460660114E-2</v>
      </c>
      <c r="D42" s="129">
        <v>553726995</v>
      </c>
      <c r="E42" s="129">
        <v>2.0279332392007587E-2</v>
      </c>
      <c r="F42" s="129">
        <v>1737423261</v>
      </c>
      <c r="G42" s="129">
        <v>5.6358448720603735E-2</v>
      </c>
      <c r="H42" s="129">
        <v>1603727936</v>
      </c>
      <c r="I42" s="129">
        <v>7.2156001719632087E-2</v>
      </c>
      <c r="J42" s="129">
        <v>1222297788</v>
      </c>
      <c r="K42" s="129">
        <v>6.5006120210451074E-2</v>
      </c>
    </row>
    <row r="43" spans="1:11" x14ac:dyDescent="0.25">
      <c r="A43" t="s">
        <v>51</v>
      </c>
      <c r="B43">
        <v>-732338116</v>
      </c>
      <c r="C43" s="129">
        <v>1.6284372146988711E-2</v>
      </c>
      <c r="D43" s="129">
        <v>39145070</v>
      </c>
      <c r="E43" s="129">
        <v>1.4336232352883652E-3</v>
      </c>
      <c r="F43" s="129">
        <v>-364492082</v>
      </c>
      <c r="G43" s="129">
        <v>1.1823375900147506E-2</v>
      </c>
      <c r="H43" s="129">
        <v>-313513004</v>
      </c>
      <c r="I43" s="129">
        <v>1.4105787115097695E-2</v>
      </c>
      <c r="J43" s="129">
        <v>-231537873</v>
      </c>
      <c r="K43" s="129">
        <v>1.231400314496041E-2</v>
      </c>
    </row>
    <row r="44" spans="1:11" x14ac:dyDescent="0.25">
      <c r="A44" t="s">
        <v>52</v>
      </c>
      <c r="B44">
        <v>3429149696</v>
      </c>
      <c r="C44" s="129">
        <v>7.6251049313671396E-2</v>
      </c>
      <c r="D44" s="129">
        <v>592872065</v>
      </c>
      <c r="E44" s="129">
        <v>2.1712955627295954E-2</v>
      </c>
      <c r="F44" s="129">
        <v>1372931179</v>
      </c>
      <c r="G44" s="129">
        <v>4.4535072820456226E-2</v>
      </c>
      <c r="H44" s="129">
        <v>1290214932</v>
      </c>
      <c r="I44" s="129">
        <v>5.8050214604534391E-2</v>
      </c>
      <c r="J44" s="129">
        <v>990759915</v>
      </c>
      <c r="K44" s="129">
        <v>5.2692117065490658E-2</v>
      </c>
    </row>
    <row r="45" spans="1:11" x14ac:dyDescent="0.25">
      <c r="A45" t="s">
        <v>39</v>
      </c>
      <c r="C45" s="129"/>
      <c r="D45" s="129"/>
      <c r="E45" s="129"/>
      <c r="F45" s="129"/>
      <c r="G45" s="129"/>
      <c r="H45" s="129"/>
      <c r="I45" s="129"/>
      <c r="J45" s="129"/>
      <c r="K45" s="129"/>
    </row>
    <row r="46" spans="1:11" x14ac:dyDescent="0.25">
      <c r="A46" t="s">
        <v>53</v>
      </c>
      <c r="B46" t="s">
        <v>19</v>
      </c>
      <c r="C46" s="129"/>
      <c r="D46" s="129" t="s">
        <v>19</v>
      </c>
      <c r="E46" s="129"/>
      <c r="F46" s="129"/>
      <c r="G46" s="129"/>
      <c r="H46" s="129"/>
      <c r="I46" s="129"/>
      <c r="J46" s="129"/>
      <c r="K46" s="129"/>
    </row>
    <row r="47" spans="1:11" x14ac:dyDescent="0.25">
      <c r="A47" t="s">
        <v>54</v>
      </c>
      <c r="C47" s="129"/>
      <c r="D47" s="129"/>
      <c r="E47" s="129"/>
      <c r="F47" s="129"/>
      <c r="G47" s="129"/>
      <c r="H47" s="129"/>
      <c r="I47" s="129"/>
      <c r="J47" s="129"/>
      <c r="K47" s="129"/>
    </row>
    <row r="48" spans="1:11" x14ac:dyDescent="0.25">
      <c r="A48" t="s">
        <v>55</v>
      </c>
      <c r="B48">
        <v>-35575214</v>
      </c>
      <c r="C48" s="129">
        <v>7.9105540368291146E-4</v>
      </c>
      <c r="D48" s="129">
        <v>40168772</v>
      </c>
      <c r="E48" s="129">
        <v>1.4711146224084079E-3</v>
      </c>
      <c r="F48" s="129">
        <v>-27712063</v>
      </c>
      <c r="G48" s="129">
        <v>8.9892251162144424E-4</v>
      </c>
      <c r="H48" s="129">
        <v>-14113625</v>
      </c>
      <c r="I48" s="129">
        <v>6.3500967147225797E-4</v>
      </c>
      <c r="J48" s="129">
        <v>-5854525</v>
      </c>
      <c r="K48" s="129">
        <v>3.1136434972022631E-4</v>
      </c>
    </row>
    <row r="49" spans="1:11" x14ac:dyDescent="0.25">
      <c r="A49" t="s">
        <v>56</v>
      </c>
      <c r="B49">
        <v>10316812</v>
      </c>
      <c r="C49" s="129">
        <v>2.2940606573387598E-4</v>
      </c>
      <c r="D49" s="129">
        <v>-11648944</v>
      </c>
      <c r="E49" s="129">
        <v>4.266232448932392E-4</v>
      </c>
      <c r="F49" s="129">
        <v>8036498</v>
      </c>
      <c r="G49" s="129">
        <v>2.6068751961197238E-4</v>
      </c>
      <c r="H49" s="129">
        <v>4092951</v>
      </c>
      <c r="I49" s="129">
        <v>1.8415279347878732E-4</v>
      </c>
      <c r="J49" s="129">
        <v>1756358</v>
      </c>
      <c r="K49" s="129">
        <v>9.340933150783663E-5</v>
      </c>
    </row>
    <row r="50" spans="1:11" x14ac:dyDescent="0.25">
      <c r="B50">
        <v>-25258402</v>
      </c>
      <c r="C50" s="129">
        <v>5.6164933794903551E-4</v>
      </c>
      <c r="D50" s="129">
        <v>28519828</v>
      </c>
      <c r="E50" s="129">
        <v>1.0444913775151687E-3</v>
      </c>
      <c r="F50" s="129">
        <v>-19675565</v>
      </c>
      <c r="G50" s="129">
        <v>6.3823499200947186E-4</v>
      </c>
      <c r="H50" s="129">
        <v>-10020674</v>
      </c>
      <c r="I50" s="129">
        <v>4.5085687799347065E-4</v>
      </c>
      <c r="J50" s="129">
        <v>-4098167</v>
      </c>
      <c r="K50" s="129">
        <v>2.179550182123897E-4</v>
      </c>
    </row>
    <row r="51" spans="1:11" x14ac:dyDescent="0.25">
      <c r="A51" t="s">
        <v>57</v>
      </c>
      <c r="B51">
        <v>4684650374</v>
      </c>
      <c r="C51" s="129">
        <v>0.10416853691218476</v>
      </c>
      <c r="D51" s="129" t="s">
        <v>19</v>
      </c>
      <c r="E51" s="129"/>
      <c r="F51" s="129"/>
      <c r="G51" s="129"/>
      <c r="H51" s="129"/>
      <c r="I51" s="129"/>
      <c r="J51" s="129"/>
      <c r="K51" s="129"/>
    </row>
    <row r="52" spans="1:11" x14ac:dyDescent="0.25">
      <c r="A52" t="s">
        <v>56</v>
      </c>
      <c r="B52">
        <v>-1212338109</v>
      </c>
      <c r="C52" s="129">
        <v>2.6957718714360299E-2</v>
      </c>
      <c r="D52" s="129" t="s">
        <v>19</v>
      </c>
      <c r="E52" s="129"/>
      <c r="F52" s="129"/>
      <c r="G52" s="129"/>
      <c r="H52" s="129"/>
      <c r="I52" s="129"/>
      <c r="J52" s="129"/>
      <c r="K52" s="129"/>
    </row>
    <row r="53" spans="1:11" x14ac:dyDescent="0.25">
      <c r="B53">
        <v>3472312265</v>
      </c>
      <c r="C53" s="129">
        <v>7.7210818197824466E-2</v>
      </c>
      <c r="D53" s="129" t="s">
        <v>19</v>
      </c>
      <c r="E53" s="129"/>
      <c r="F53" s="129"/>
      <c r="G53" s="129"/>
      <c r="H53" s="129"/>
      <c r="I53" s="129"/>
      <c r="J53" s="129"/>
      <c r="K53" s="129"/>
    </row>
    <row r="54" spans="1:11" x14ac:dyDescent="0.25">
      <c r="A54" t="s">
        <v>58</v>
      </c>
      <c r="B54">
        <v>3447053863</v>
      </c>
      <c r="C54" s="129">
        <v>7.6649168859875424E-2</v>
      </c>
      <c r="D54" s="129">
        <v>28519828</v>
      </c>
      <c r="E54" s="129">
        <v>1.0444913775151687E-3</v>
      </c>
      <c r="F54" s="129">
        <v>-19675565</v>
      </c>
      <c r="G54" s="129">
        <v>6.3823499200947186E-4</v>
      </c>
      <c r="H54" s="129">
        <v>-10020674</v>
      </c>
      <c r="I54" s="129">
        <v>4.5085687799347065E-4</v>
      </c>
      <c r="J54" s="129">
        <v>-4098167</v>
      </c>
      <c r="K54" s="129">
        <v>2.179550182123897E-4</v>
      </c>
    </row>
    <row r="55" spans="1:11" x14ac:dyDescent="0.25">
      <c r="A55" t="s">
        <v>59</v>
      </c>
      <c r="B55">
        <v>6876203559</v>
      </c>
      <c r="C55" s="129">
        <v>0.15290021817354682</v>
      </c>
      <c r="D55" s="129">
        <v>621391893</v>
      </c>
      <c r="E55" s="129">
        <v>2.275744700481112E-2</v>
      </c>
      <c r="F55" s="129">
        <v>1353255614</v>
      </c>
      <c r="G55" s="129">
        <v>4.3896837828446757E-2</v>
      </c>
      <c r="H55" s="129">
        <v>1280194258</v>
      </c>
      <c r="I55" s="129">
        <v>5.7599357726540922E-2</v>
      </c>
      <c r="J55" s="129">
        <v>986661748</v>
      </c>
      <c r="K55" s="129">
        <v>5.2474162047278269E-2</v>
      </c>
    </row>
    <row r="56" spans="1:11" x14ac:dyDescent="0.25">
      <c r="C56" s="129"/>
      <c r="D56" s="129"/>
      <c r="E56" s="129"/>
      <c r="F56" s="129"/>
      <c r="G56" s="129"/>
      <c r="H56" s="129"/>
      <c r="I56" s="129"/>
      <c r="J56" s="129"/>
      <c r="K56" s="129"/>
    </row>
    <row r="57" spans="1:11" x14ac:dyDescent="0.25">
      <c r="A57" t="s">
        <v>60</v>
      </c>
      <c r="B57">
        <v>12.85</v>
      </c>
      <c r="C57" s="129">
        <v>2.8573438623097001E-10</v>
      </c>
      <c r="D57" s="129">
        <v>2.25</v>
      </c>
      <c r="E57" s="129">
        <v>8.2402516572299447E-11</v>
      </c>
      <c r="F57" s="129">
        <v>5.46</v>
      </c>
      <c r="G57" s="129">
        <v>1.7711120653316519E-10</v>
      </c>
      <c r="H57" s="129">
        <v>5.13</v>
      </c>
      <c r="I57" s="129">
        <v>2.3081239686137922E-10</v>
      </c>
      <c r="J57" s="129">
        <v>4.21</v>
      </c>
      <c r="K57" s="129">
        <v>2.2390269275853341E-10</v>
      </c>
    </row>
  </sheetData>
  <pageMargins left="0.7" right="0.7" top="0.75" bottom="0.75" header="0.3" footer="0.3"/>
  <pageSetup orientation="portrait" r:id="rId1"/>
  <ignoredErrors>
    <ignoredError sqref="G2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zoomScale="85" zoomScaleNormal="85" workbookViewId="0">
      <selection activeCell="B14" sqref="B14"/>
    </sheetView>
  </sheetViews>
  <sheetFormatPr defaultRowHeight="13.2" x14ac:dyDescent="0.25"/>
  <cols>
    <col min="1" max="1" width="83.109375" bestFit="1" customWidth="1"/>
    <col min="2" max="2" width="14.109375" bestFit="1" customWidth="1"/>
    <col min="3" max="3" width="14.109375" style="146" bestFit="1" customWidth="1"/>
    <col min="4" max="4" width="13.109375" bestFit="1" customWidth="1"/>
    <col min="5" max="5" width="13.109375" style="151" bestFit="1" customWidth="1"/>
    <col min="6" max="6" width="13.109375" bestFit="1" customWidth="1"/>
    <col min="7" max="7" width="13.109375" style="153" bestFit="1" customWidth="1"/>
    <col min="9" max="9" width="11.77734375" bestFit="1" customWidth="1"/>
    <col min="10" max="10" width="10.77734375" bestFit="1" customWidth="1"/>
  </cols>
  <sheetData>
    <row r="1" spans="1:10" ht="30" x14ac:dyDescent="0.5">
      <c r="A1" s="140" t="s">
        <v>38</v>
      </c>
    </row>
    <row r="2" spans="1:10" ht="30" x14ac:dyDescent="0.5">
      <c r="A2" s="140" t="s">
        <v>39</v>
      </c>
      <c r="F2" s="141"/>
    </row>
    <row r="3" spans="1:10" ht="15.6" x14ac:dyDescent="0.3">
      <c r="A3" s="142"/>
    </row>
    <row r="4" spans="1:10" x14ac:dyDescent="0.25">
      <c r="A4" s="143" t="s">
        <v>0</v>
      </c>
      <c r="B4" s="168">
        <v>2021</v>
      </c>
      <c r="C4" s="169">
        <v>2020</v>
      </c>
      <c r="D4" s="170">
        <v>2019</v>
      </c>
      <c r="E4" s="171">
        <v>2018</v>
      </c>
      <c r="F4" s="172">
        <v>2018</v>
      </c>
      <c r="G4" s="173">
        <v>2017</v>
      </c>
    </row>
    <row r="5" spans="1:10" x14ac:dyDescent="0.25">
      <c r="A5" s="144" t="s">
        <v>41</v>
      </c>
      <c r="B5" s="158">
        <v>44971836150</v>
      </c>
      <c r="C5" s="159">
        <v>27304991323</v>
      </c>
      <c r="D5" s="160">
        <v>30828088786</v>
      </c>
      <c r="E5" s="161">
        <v>22225842588</v>
      </c>
      <c r="F5" s="174">
        <v>22225842588</v>
      </c>
      <c r="G5" s="162">
        <v>18802810936</v>
      </c>
    </row>
    <row r="6" spans="1:10" x14ac:dyDescent="0.25">
      <c r="A6" s="144" t="s">
        <v>42</v>
      </c>
      <c r="B6" s="158">
        <v>-38280467988</v>
      </c>
      <c r="C6" s="159">
        <v>-24687542736</v>
      </c>
      <c r="D6" s="160">
        <v>-27639095197</v>
      </c>
      <c r="E6" s="161">
        <v>-19431430949</v>
      </c>
      <c r="F6" s="174">
        <v>-19431430949</v>
      </c>
      <c r="G6" s="162">
        <v>-16837364157</v>
      </c>
    </row>
    <row r="7" spans="1:10" x14ac:dyDescent="0.25">
      <c r="A7" s="145" t="s">
        <v>43</v>
      </c>
      <c r="B7" s="158">
        <v>6691368162</v>
      </c>
      <c r="C7" s="159">
        <v>2617448587</v>
      </c>
      <c r="D7" s="160">
        <v>3188993589</v>
      </c>
      <c r="E7" s="161">
        <v>2794411639</v>
      </c>
      <c r="F7" s="174">
        <v>2794411639</v>
      </c>
      <c r="G7" s="162">
        <v>1965446779</v>
      </c>
    </row>
    <row r="8" spans="1:10" x14ac:dyDescent="0.25">
      <c r="A8" s="144" t="s">
        <v>44</v>
      </c>
      <c r="B8" s="158">
        <v>-254310408</v>
      </c>
      <c r="C8" s="159">
        <v>-143886023</v>
      </c>
      <c r="D8" s="160">
        <v>-201591683</v>
      </c>
      <c r="E8" s="161">
        <v>-246333068</v>
      </c>
      <c r="F8" s="174">
        <v>-246333068</v>
      </c>
      <c r="G8" s="162">
        <v>-164048993</v>
      </c>
    </row>
    <row r="9" spans="1:10" x14ac:dyDescent="0.25">
      <c r="A9" s="144" t="s">
        <v>45</v>
      </c>
      <c r="B9" s="158">
        <v>-537896276</v>
      </c>
      <c r="C9" s="159">
        <v>-407031747</v>
      </c>
      <c r="D9" s="160">
        <v>-366851773</v>
      </c>
      <c r="E9" s="161">
        <v>-312900945</v>
      </c>
      <c r="F9" s="174">
        <v>-312900945</v>
      </c>
      <c r="G9" s="162">
        <v>-265074820</v>
      </c>
    </row>
    <row r="10" spans="1:10" x14ac:dyDescent="0.25">
      <c r="A10" s="144" t="s">
        <v>46</v>
      </c>
      <c r="B10" s="158">
        <v>-379245548</v>
      </c>
      <c r="C10" s="159">
        <v>-53449687</v>
      </c>
      <c r="D10" s="160">
        <v>-123486662</v>
      </c>
      <c r="E10" s="161">
        <v>-113689603</v>
      </c>
      <c r="F10" s="174">
        <v>-113689603</v>
      </c>
      <c r="G10" s="162">
        <v>-84982818</v>
      </c>
    </row>
    <row r="11" spans="1:10" x14ac:dyDescent="0.25">
      <c r="A11" s="144" t="s">
        <v>47</v>
      </c>
      <c r="B11" s="158">
        <v>-54959050</v>
      </c>
      <c r="C11" s="159">
        <v>-3356549</v>
      </c>
      <c r="D11" s="160">
        <v>-3310221</v>
      </c>
      <c r="E11" s="161">
        <v>-1663874</v>
      </c>
      <c r="F11" s="175">
        <v>-1663874</v>
      </c>
      <c r="G11" s="162">
        <v>6468003</v>
      </c>
    </row>
    <row r="12" spans="1:10" x14ac:dyDescent="0.25">
      <c r="A12" s="144" t="s">
        <v>48</v>
      </c>
      <c r="B12" s="158">
        <v>66824889</v>
      </c>
      <c r="C12" s="159">
        <v>58788294</v>
      </c>
      <c r="D12" s="160">
        <v>29998500</v>
      </c>
      <c r="E12" s="161">
        <v>36364018</v>
      </c>
      <c r="F12" s="174">
        <v>36364018</v>
      </c>
      <c r="G12" s="162">
        <v>33976939</v>
      </c>
    </row>
    <row r="13" spans="1:10" x14ac:dyDescent="0.25">
      <c r="A13" s="144" t="s">
        <v>49</v>
      </c>
      <c r="B13" s="158">
        <v>-1370293957</v>
      </c>
      <c r="C13" s="159">
        <v>-1514785880</v>
      </c>
      <c r="D13" s="160">
        <v>-786328489</v>
      </c>
      <c r="E13" s="161">
        <v>-552460231</v>
      </c>
      <c r="F13" s="174">
        <v>-552460231</v>
      </c>
      <c r="G13" s="162">
        <v>-256551296</v>
      </c>
      <c r="I13" s="141"/>
    </row>
    <row r="14" spans="1:10" x14ac:dyDescent="0.25">
      <c r="A14" s="163"/>
      <c r="B14" s="158">
        <v>-2529880350</v>
      </c>
      <c r="C14" s="159">
        <v>-2063721592</v>
      </c>
      <c r="D14" s="160">
        <v>-1451570328</v>
      </c>
      <c r="E14" s="161">
        <v>-1190683703</v>
      </c>
      <c r="F14" s="174">
        <v>-1190683703</v>
      </c>
      <c r="G14" s="162">
        <v>-743148991</v>
      </c>
    </row>
    <row r="15" spans="1:10" x14ac:dyDescent="0.25">
      <c r="A15" s="145" t="s">
        <v>50</v>
      </c>
      <c r="B15" s="158">
        <v>4161487812</v>
      </c>
      <c r="C15" s="159">
        <v>553726995</v>
      </c>
      <c r="D15" s="160">
        <v>1737423261</v>
      </c>
      <c r="E15" s="161">
        <v>1603727936</v>
      </c>
      <c r="F15" s="174">
        <v>1603727936</v>
      </c>
      <c r="G15" s="162">
        <v>1222297788</v>
      </c>
      <c r="J15" s="141"/>
    </row>
    <row r="16" spans="1:10" x14ac:dyDescent="0.25">
      <c r="A16" s="144" t="s">
        <v>51</v>
      </c>
      <c r="B16" s="158">
        <v>-732338116</v>
      </c>
      <c r="C16" s="159">
        <v>39145070</v>
      </c>
      <c r="D16" s="160">
        <v>-364492082</v>
      </c>
      <c r="E16" s="161">
        <v>-313513004</v>
      </c>
      <c r="F16" s="174">
        <v>-313513004</v>
      </c>
      <c r="G16" s="162">
        <v>-231537873</v>
      </c>
      <c r="I16" s="141"/>
    </row>
    <row r="17" spans="1:9" x14ac:dyDescent="0.25">
      <c r="A17" s="145" t="s">
        <v>52</v>
      </c>
      <c r="B17" s="158">
        <v>3429149696</v>
      </c>
      <c r="C17" s="159">
        <v>592872065</v>
      </c>
      <c r="D17" s="160">
        <v>1372931179</v>
      </c>
      <c r="E17" s="161">
        <v>1290214932</v>
      </c>
      <c r="F17" s="174">
        <v>1290214932</v>
      </c>
      <c r="G17" s="162">
        <v>990759915</v>
      </c>
    </row>
    <row r="18" spans="1:9" x14ac:dyDescent="0.25">
      <c r="A18" s="145" t="s">
        <v>39</v>
      </c>
      <c r="B18" s="163"/>
      <c r="C18" s="164"/>
      <c r="D18" s="163"/>
      <c r="E18" s="165"/>
      <c r="F18" s="163"/>
      <c r="G18" s="166"/>
      <c r="I18" s="141"/>
    </row>
    <row r="19" spans="1:9" x14ac:dyDescent="0.25">
      <c r="A19" s="144" t="s">
        <v>53</v>
      </c>
      <c r="B19" s="158" t="s">
        <v>19</v>
      </c>
      <c r="C19" s="159" t="s">
        <v>19</v>
      </c>
      <c r="D19" s="163"/>
      <c r="E19" s="165"/>
      <c r="F19" s="163"/>
      <c r="G19" s="166"/>
    </row>
    <row r="20" spans="1:9" x14ac:dyDescent="0.25">
      <c r="A20" s="144" t="s">
        <v>54</v>
      </c>
      <c r="B20" s="163"/>
      <c r="C20" s="164"/>
      <c r="D20" s="163"/>
      <c r="E20" s="165"/>
      <c r="F20" s="163"/>
      <c r="G20" s="166"/>
    </row>
    <row r="21" spans="1:9" x14ac:dyDescent="0.25">
      <c r="A21" s="144" t="s">
        <v>55</v>
      </c>
      <c r="B21" s="158">
        <v>-35575214</v>
      </c>
      <c r="C21" s="159">
        <v>40168772</v>
      </c>
      <c r="D21" s="160">
        <v>-27712063</v>
      </c>
      <c r="E21" s="161">
        <v>-14113625</v>
      </c>
      <c r="F21" s="174">
        <v>-14113625</v>
      </c>
      <c r="G21" s="162">
        <v>-5854525</v>
      </c>
    </row>
    <row r="22" spans="1:9" x14ac:dyDescent="0.25">
      <c r="A22" s="144" t="s">
        <v>56</v>
      </c>
      <c r="B22" s="158">
        <v>10316812</v>
      </c>
      <c r="C22" s="159">
        <v>-11648944</v>
      </c>
      <c r="D22" s="160">
        <v>8036498</v>
      </c>
      <c r="E22" s="161">
        <v>4092951</v>
      </c>
      <c r="F22" s="174">
        <v>4092951</v>
      </c>
      <c r="G22" s="162">
        <v>1756358</v>
      </c>
      <c r="I22" s="141"/>
    </row>
    <row r="23" spans="1:9" x14ac:dyDescent="0.25">
      <c r="B23" s="158">
        <v>-25258402</v>
      </c>
      <c r="C23" s="159">
        <v>28519828</v>
      </c>
      <c r="D23" s="167">
        <f>D21+D22</f>
        <v>-19675565</v>
      </c>
      <c r="E23" s="161">
        <f>E21+E22</f>
        <v>-10020674</v>
      </c>
      <c r="F23" s="175">
        <f>F22+F21</f>
        <v>-10020674</v>
      </c>
      <c r="G23" s="162">
        <f>G21+G22</f>
        <v>-4098167</v>
      </c>
    </row>
    <row r="24" spans="1:9" x14ac:dyDescent="0.25">
      <c r="A24" s="144" t="s">
        <v>57</v>
      </c>
      <c r="B24" s="158">
        <v>4684650374</v>
      </c>
      <c r="C24" s="159" t="s">
        <v>19</v>
      </c>
      <c r="D24" s="163"/>
      <c r="E24" s="165"/>
      <c r="F24" s="163"/>
      <c r="G24" s="166"/>
    </row>
    <row r="25" spans="1:9" x14ac:dyDescent="0.25">
      <c r="A25" s="144" t="s">
        <v>56</v>
      </c>
      <c r="B25" s="158">
        <v>-1212338109</v>
      </c>
      <c r="C25" s="159" t="s">
        <v>19</v>
      </c>
      <c r="D25" s="163"/>
      <c r="E25" s="165"/>
      <c r="F25" s="163"/>
      <c r="G25" s="166"/>
    </row>
    <row r="26" spans="1:9" x14ac:dyDescent="0.25">
      <c r="B26" s="158">
        <v>3472312265</v>
      </c>
      <c r="C26" s="159" t="s">
        <v>19</v>
      </c>
      <c r="D26" s="163"/>
      <c r="E26" s="165"/>
      <c r="F26" s="163"/>
      <c r="G26" s="166"/>
    </row>
    <row r="27" spans="1:9" x14ac:dyDescent="0.25">
      <c r="A27" s="144" t="s">
        <v>58</v>
      </c>
      <c r="B27" s="158">
        <v>3447053863</v>
      </c>
      <c r="C27" s="159">
        <v>28519828</v>
      </c>
      <c r="D27" s="160">
        <v>-19675565</v>
      </c>
      <c r="E27" s="161">
        <v>-10020674</v>
      </c>
      <c r="F27" s="174">
        <v>-10020674</v>
      </c>
      <c r="G27" s="162">
        <v>-4098167</v>
      </c>
    </row>
    <row r="28" spans="1:9" x14ac:dyDescent="0.25">
      <c r="A28" s="145" t="s">
        <v>59</v>
      </c>
      <c r="B28" s="158">
        <v>6876203559</v>
      </c>
      <c r="C28" s="159">
        <v>621391893</v>
      </c>
      <c r="D28" s="160">
        <v>1353255614</v>
      </c>
      <c r="E28" s="161">
        <v>1280194258</v>
      </c>
      <c r="F28" s="174">
        <v>1280194258</v>
      </c>
      <c r="G28" s="162">
        <v>986661748</v>
      </c>
    </row>
    <row r="29" spans="1:9" x14ac:dyDescent="0.25">
      <c r="C29" s="149"/>
    </row>
    <row r="30" spans="1:9" x14ac:dyDescent="0.25">
      <c r="A30" s="145" t="s">
        <v>60</v>
      </c>
      <c r="B30" s="11">
        <v>12.85</v>
      </c>
      <c r="C30" s="150">
        <v>2.25</v>
      </c>
      <c r="D30" s="23">
        <v>5.46</v>
      </c>
      <c r="E30" s="152">
        <v>5.13</v>
      </c>
      <c r="F30" s="35">
        <v>5.13</v>
      </c>
      <c r="G30" s="155">
        <v>4.21</v>
      </c>
    </row>
    <row r="31" spans="1:9" x14ac:dyDescent="0.25">
      <c r="A31" s="6"/>
    </row>
    <row r="35" spans="1:3" ht="31.2" x14ac:dyDescent="0.5">
      <c r="A35" s="21"/>
    </row>
    <row r="36" spans="1:3" ht="31.8" x14ac:dyDescent="0.55000000000000004">
      <c r="A36" s="22"/>
    </row>
    <row r="37" spans="1:3" ht="15.6" x14ac:dyDescent="0.3">
      <c r="A37" s="20"/>
    </row>
    <row r="38" spans="1:3" x14ac:dyDescent="0.25">
      <c r="A38" s="19"/>
      <c r="B38" s="18"/>
      <c r="C38" s="147"/>
    </row>
    <row r="39" spans="1:3" x14ac:dyDescent="0.25">
      <c r="A39" s="13"/>
      <c r="B39" s="16"/>
      <c r="C39" s="148"/>
    </row>
    <row r="40" spans="1:3" x14ac:dyDescent="0.25">
      <c r="A40" s="13"/>
      <c r="B40" s="16"/>
      <c r="C40" s="148"/>
    </row>
    <row r="41" spans="1:3" x14ac:dyDescent="0.25">
      <c r="A41" s="14"/>
      <c r="B41" s="16"/>
      <c r="C41" s="148"/>
    </row>
    <row r="42" spans="1:3" x14ac:dyDescent="0.25">
      <c r="A42" s="13"/>
      <c r="B42" s="16"/>
      <c r="C42" s="148"/>
    </row>
    <row r="43" spans="1:3" x14ac:dyDescent="0.25">
      <c r="A43" s="13"/>
      <c r="B43" s="16"/>
      <c r="C43" s="148"/>
    </row>
    <row r="44" spans="1:3" x14ac:dyDescent="0.25">
      <c r="A44" s="13"/>
      <c r="B44" s="16"/>
      <c r="C44" s="148"/>
    </row>
    <row r="45" spans="1:3" x14ac:dyDescent="0.25">
      <c r="A45" s="13"/>
      <c r="B45" s="16"/>
      <c r="C45" s="148"/>
    </row>
    <row r="46" spans="1:3" x14ac:dyDescent="0.25">
      <c r="A46" s="13"/>
      <c r="B46" s="16"/>
      <c r="C46" s="148"/>
    </row>
    <row r="47" spans="1:3" x14ac:dyDescent="0.25">
      <c r="A47" s="13"/>
      <c r="B47" s="16"/>
      <c r="C47" s="148"/>
    </row>
    <row r="48" spans="1:3" x14ac:dyDescent="0.25">
      <c r="B48" s="16"/>
      <c r="C48" s="148"/>
    </row>
    <row r="49" spans="1:3" x14ac:dyDescent="0.25">
      <c r="A49" s="14"/>
      <c r="B49" s="16"/>
      <c r="C49" s="148"/>
    </row>
    <row r="50" spans="1:3" x14ac:dyDescent="0.25">
      <c r="A50" s="13"/>
      <c r="B50" s="16"/>
      <c r="C50" s="148"/>
    </row>
    <row r="51" spans="1:3" x14ac:dyDescent="0.25">
      <c r="A51" s="14"/>
      <c r="B51" s="16"/>
      <c r="C51" s="148"/>
    </row>
    <row r="52" spans="1:3" x14ac:dyDescent="0.25">
      <c r="A52" s="14"/>
    </row>
    <row r="53" spans="1:3" x14ac:dyDescent="0.25">
      <c r="A53" s="13"/>
    </row>
    <row r="54" spans="1:3" x14ac:dyDescent="0.25">
      <c r="A54" s="13"/>
      <c r="B54" s="16"/>
      <c r="C54" s="148"/>
    </row>
    <row r="55" spans="1:3" x14ac:dyDescent="0.25">
      <c r="A55" s="13"/>
      <c r="B55" s="16"/>
      <c r="C55" s="148"/>
    </row>
    <row r="56" spans="1:3" x14ac:dyDescent="0.25">
      <c r="A56" s="13"/>
      <c r="B56" s="16"/>
      <c r="C56" s="148"/>
    </row>
    <row r="57" spans="1:3" x14ac:dyDescent="0.25">
      <c r="A57" s="14"/>
      <c r="B57" s="16"/>
      <c r="C57" s="148"/>
    </row>
    <row r="58" spans="1:3" x14ac:dyDescent="0.25">
      <c r="A58" s="14"/>
      <c r="B58" s="23"/>
      <c r="C58" s="150"/>
    </row>
    <row r="63" spans="1:3" ht="31.2" x14ac:dyDescent="0.5">
      <c r="A63" s="34"/>
    </row>
    <row r="64" spans="1:3" ht="31.8" x14ac:dyDescent="0.55000000000000004">
      <c r="A64" s="36"/>
    </row>
    <row r="65" spans="1:3" ht="15.6" x14ac:dyDescent="0.3">
      <c r="A65" s="33"/>
    </row>
    <row r="66" spans="1:3" x14ac:dyDescent="0.25">
      <c r="A66" s="32"/>
      <c r="B66" s="30"/>
      <c r="C66" s="147"/>
    </row>
    <row r="67" spans="1:3" x14ac:dyDescent="0.25">
      <c r="A67" s="25"/>
      <c r="B67" s="28"/>
      <c r="C67" s="148"/>
    </row>
    <row r="68" spans="1:3" x14ac:dyDescent="0.25">
      <c r="A68" s="25"/>
      <c r="B68" s="28"/>
      <c r="C68" s="148"/>
    </row>
    <row r="69" spans="1:3" x14ac:dyDescent="0.25">
      <c r="A69" s="26"/>
      <c r="B69" s="28"/>
      <c r="C69" s="148"/>
    </row>
    <row r="70" spans="1:3" x14ac:dyDescent="0.25">
      <c r="A70" s="25"/>
      <c r="B70" s="28"/>
      <c r="C70" s="148"/>
    </row>
    <row r="71" spans="1:3" x14ac:dyDescent="0.25">
      <c r="A71" s="25"/>
      <c r="B71" s="28"/>
      <c r="C71" s="148"/>
    </row>
    <row r="72" spans="1:3" x14ac:dyDescent="0.25">
      <c r="A72" s="25"/>
      <c r="B72" s="28"/>
      <c r="C72" s="148"/>
    </row>
    <row r="73" spans="1:3" x14ac:dyDescent="0.25">
      <c r="A73" s="25"/>
      <c r="B73" s="28"/>
      <c r="C73" s="148"/>
    </row>
    <row r="74" spans="1:3" x14ac:dyDescent="0.25">
      <c r="A74" s="25"/>
      <c r="B74" s="28"/>
      <c r="C74" s="148"/>
    </row>
    <row r="75" spans="1:3" x14ac:dyDescent="0.25">
      <c r="B75" s="28"/>
      <c r="C75" s="148"/>
    </row>
    <row r="76" spans="1:3" x14ac:dyDescent="0.25">
      <c r="A76" s="26"/>
      <c r="B76" s="28"/>
      <c r="C76" s="148"/>
    </row>
    <row r="77" spans="1:3" x14ac:dyDescent="0.25">
      <c r="A77" s="25"/>
      <c r="B77" s="28"/>
      <c r="C77" s="148"/>
    </row>
    <row r="78" spans="1:3" x14ac:dyDescent="0.25">
      <c r="A78" s="26"/>
      <c r="B78" s="28"/>
      <c r="C78" s="148"/>
    </row>
    <row r="79" spans="1:3" x14ac:dyDescent="0.25">
      <c r="A79" s="26"/>
    </row>
    <row r="80" spans="1:3" x14ac:dyDescent="0.25">
      <c r="A80" s="25"/>
    </row>
    <row r="81" spans="1:3" x14ac:dyDescent="0.25">
      <c r="A81" s="25"/>
      <c r="B81" s="28"/>
      <c r="C81" s="148"/>
    </row>
    <row r="82" spans="1:3" x14ac:dyDescent="0.25">
      <c r="A82" s="25"/>
      <c r="B82" s="28"/>
      <c r="C82" s="148"/>
    </row>
    <row r="83" spans="1:3" x14ac:dyDescent="0.25">
      <c r="A83" s="25"/>
      <c r="B83" s="28"/>
      <c r="C83" s="148"/>
    </row>
    <row r="84" spans="1:3" x14ac:dyDescent="0.25">
      <c r="A84" s="26"/>
      <c r="B84" s="28"/>
      <c r="C84" s="148"/>
    </row>
    <row r="85" spans="1:3" x14ac:dyDescent="0.25">
      <c r="A85" s="26"/>
      <c r="B85" s="35"/>
      <c r="C85" s="150"/>
    </row>
  </sheetData>
  <pageMargins left="0.7" right="0.7" top="0.75" bottom="0.75" header="0.3" footer="0.3"/>
  <ignoredErrors>
    <ignoredError sqref="F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70F6-09F8-4D98-A8A1-58A5E29E7CFA}">
  <dimension ref="A1:J95"/>
  <sheetViews>
    <sheetView workbookViewId="0">
      <selection activeCell="A26" sqref="A26:G26"/>
    </sheetView>
  </sheetViews>
  <sheetFormatPr defaultRowHeight="13.2" x14ac:dyDescent="0.25"/>
  <cols>
    <col min="1" max="1" width="83.109375" bestFit="1" customWidth="1"/>
    <col min="2" max="2" width="14.109375" bestFit="1" customWidth="1"/>
    <col min="3" max="3" width="14.109375" style="146" bestFit="1" customWidth="1"/>
    <col min="4" max="4" width="13.109375" bestFit="1" customWidth="1"/>
    <col min="5" max="5" width="13.109375" style="151" bestFit="1" customWidth="1"/>
    <col min="6" max="6" width="13.109375" bestFit="1" customWidth="1"/>
    <col min="7" max="7" width="13.109375" style="153" bestFit="1" customWidth="1"/>
    <col min="9" max="9" width="11.77734375" bestFit="1" customWidth="1"/>
    <col min="10" max="10" width="10.77734375" bestFit="1" customWidth="1"/>
  </cols>
  <sheetData>
    <row r="1" spans="1:9" ht="30" x14ac:dyDescent="0.5">
      <c r="A1" s="140" t="s">
        <v>38</v>
      </c>
    </row>
    <row r="2" spans="1:9" ht="30" x14ac:dyDescent="0.5">
      <c r="A2" s="140" t="s">
        <v>39</v>
      </c>
      <c r="F2" s="141"/>
    </row>
    <row r="3" spans="1:9" ht="15.6" x14ac:dyDescent="0.3">
      <c r="A3" s="142"/>
    </row>
    <row r="4" spans="1:9" x14ac:dyDescent="0.25">
      <c r="A4" s="143" t="s">
        <v>0</v>
      </c>
      <c r="B4" s="192">
        <v>2021</v>
      </c>
      <c r="C4" s="193">
        <v>2020</v>
      </c>
      <c r="D4" s="194">
        <v>2019</v>
      </c>
      <c r="E4" s="195">
        <v>2018</v>
      </c>
      <c r="F4" s="32">
        <v>2018</v>
      </c>
      <c r="G4" s="196">
        <v>2017</v>
      </c>
    </row>
    <row r="5" spans="1:9" x14ac:dyDescent="0.25">
      <c r="A5" s="144" t="s">
        <v>41</v>
      </c>
      <c r="B5" s="158">
        <v>44971836150</v>
      </c>
      <c r="C5" s="159">
        <v>27304991323</v>
      </c>
      <c r="D5" s="160">
        <v>30828088786</v>
      </c>
      <c r="E5" s="161">
        <v>22225842588</v>
      </c>
      <c r="F5" s="174">
        <v>22225842588</v>
      </c>
      <c r="G5" s="162">
        <v>18802810936</v>
      </c>
    </row>
    <row r="6" spans="1:9" x14ac:dyDescent="0.25">
      <c r="A6" s="144" t="s">
        <v>42</v>
      </c>
      <c r="B6" s="158">
        <v>-38280467988</v>
      </c>
      <c r="C6" s="159">
        <v>-24687542736</v>
      </c>
      <c r="D6" s="160">
        <v>-27639095197</v>
      </c>
      <c r="E6" s="161">
        <v>-19431430949</v>
      </c>
      <c r="F6" s="174">
        <v>-19431430949</v>
      </c>
      <c r="G6" s="162">
        <v>-16837364157</v>
      </c>
    </row>
    <row r="7" spans="1:9" x14ac:dyDescent="0.25">
      <c r="A7" s="145" t="s">
        <v>43</v>
      </c>
      <c r="B7" s="158">
        <v>6691368162</v>
      </c>
      <c r="C7" s="159">
        <v>2617448587</v>
      </c>
      <c r="D7" s="160">
        <v>3188993589</v>
      </c>
      <c r="E7" s="161">
        <v>2794411639</v>
      </c>
      <c r="F7" s="174">
        <v>2794411639</v>
      </c>
      <c r="G7" s="162">
        <v>1965446779</v>
      </c>
    </row>
    <row r="8" spans="1:9" x14ac:dyDescent="0.25">
      <c r="A8" s="145"/>
      <c r="B8" s="158"/>
      <c r="C8" s="159"/>
      <c r="D8" s="160"/>
      <c r="E8" s="161"/>
      <c r="F8" s="174"/>
      <c r="G8" s="162"/>
    </row>
    <row r="9" spans="1:9" s="199" customFormat="1" x14ac:dyDescent="0.25">
      <c r="A9" s="197" t="s">
        <v>202</v>
      </c>
      <c r="B9" s="198">
        <f>B7/B5</f>
        <v>0.14879019259256995</v>
      </c>
      <c r="C9" s="198">
        <f t="shared" ref="C9:G9" si="0">C7/C5</f>
        <v>9.5859711363293007E-2</v>
      </c>
      <c r="D9" s="198">
        <f t="shared" si="0"/>
        <v>0.10344441431764079</v>
      </c>
      <c r="E9" s="198">
        <f t="shared" si="0"/>
        <v>0.1257280405877047</v>
      </c>
      <c r="F9" s="198">
        <f t="shared" si="0"/>
        <v>0.1257280405877047</v>
      </c>
      <c r="G9" s="198">
        <f t="shared" si="0"/>
        <v>0.10452941242082806</v>
      </c>
    </row>
    <row r="10" spans="1:9" x14ac:dyDescent="0.25">
      <c r="A10" s="145"/>
      <c r="B10" s="158"/>
      <c r="C10" s="159"/>
      <c r="D10" s="160"/>
      <c r="E10" s="161"/>
      <c r="F10" s="174"/>
      <c r="G10" s="162"/>
    </row>
    <row r="11" spans="1:9" x14ac:dyDescent="0.25">
      <c r="A11" s="144" t="s">
        <v>44</v>
      </c>
      <c r="B11" s="158">
        <v>-254310408</v>
      </c>
      <c r="C11" s="159">
        <v>-143886023</v>
      </c>
      <c r="D11" s="160">
        <v>-201591683</v>
      </c>
      <c r="E11" s="161">
        <v>-246333068</v>
      </c>
      <c r="F11" s="174">
        <v>-246333068</v>
      </c>
      <c r="G11" s="162">
        <v>-164048993</v>
      </c>
    </row>
    <row r="12" spans="1:9" x14ac:dyDescent="0.25">
      <c r="A12" s="144" t="s">
        <v>45</v>
      </c>
      <c r="B12" s="158">
        <v>-537896276</v>
      </c>
      <c r="C12" s="159">
        <v>-407031747</v>
      </c>
      <c r="D12" s="160">
        <v>-366851773</v>
      </c>
      <c r="E12" s="161">
        <v>-312900945</v>
      </c>
      <c r="F12" s="174">
        <v>-312900945</v>
      </c>
      <c r="G12" s="162">
        <v>-265074820</v>
      </c>
    </row>
    <row r="13" spans="1:9" x14ac:dyDescent="0.25">
      <c r="A13" s="144" t="s">
        <v>46</v>
      </c>
      <c r="B13" s="158">
        <v>-379245548</v>
      </c>
      <c r="C13" s="159">
        <v>-53449687</v>
      </c>
      <c r="D13" s="160">
        <v>-123486662</v>
      </c>
      <c r="E13" s="161">
        <v>-113689603</v>
      </c>
      <c r="F13" s="174">
        <v>-113689603</v>
      </c>
      <c r="G13" s="162">
        <v>-84982818</v>
      </c>
    </row>
    <row r="14" spans="1:9" x14ac:dyDescent="0.25">
      <c r="A14" s="144" t="s">
        <v>47</v>
      </c>
      <c r="B14" s="158">
        <v>-54959050</v>
      </c>
      <c r="C14" s="159">
        <v>-3356549</v>
      </c>
      <c r="D14" s="160">
        <v>-3310221</v>
      </c>
      <c r="E14" s="161">
        <v>-1663874</v>
      </c>
      <c r="F14" s="175">
        <v>-1663874</v>
      </c>
      <c r="G14" s="162">
        <v>6468003</v>
      </c>
    </row>
    <row r="15" spans="1:9" x14ac:dyDescent="0.25">
      <c r="A15" s="144" t="s">
        <v>48</v>
      </c>
      <c r="B15" s="158">
        <v>66824889</v>
      </c>
      <c r="C15" s="159">
        <v>58788294</v>
      </c>
      <c r="D15" s="160">
        <v>29998500</v>
      </c>
      <c r="E15" s="161">
        <v>36364018</v>
      </c>
      <c r="F15" s="174">
        <v>36364018</v>
      </c>
      <c r="G15" s="162">
        <v>33976939</v>
      </c>
    </row>
    <row r="16" spans="1:9" x14ac:dyDescent="0.25">
      <c r="A16" s="144" t="s">
        <v>49</v>
      </c>
      <c r="B16" s="158">
        <v>-1370293957</v>
      </c>
      <c r="C16" s="159">
        <v>-1514785880</v>
      </c>
      <c r="D16" s="160">
        <v>-786328489</v>
      </c>
      <c r="E16" s="161">
        <v>-552460231</v>
      </c>
      <c r="F16" s="174">
        <v>-552460231</v>
      </c>
      <c r="G16" s="162">
        <v>-256551296</v>
      </c>
      <c r="I16" s="141"/>
    </row>
    <row r="17" spans="1:10" x14ac:dyDescent="0.25">
      <c r="B17" s="158">
        <v>-2529880350</v>
      </c>
      <c r="C17" s="159">
        <v>-2063721592</v>
      </c>
      <c r="D17" s="160">
        <v>-1451570328</v>
      </c>
      <c r="E17" s="161">
        <v>-1190683703</v>
      </c>
      <c r="F17" s="174">
        <v>-1190683703</v>
      </c>
      <c r="G17" s="162">
        <v>-743148991</v>
      </c>
    </row>
    <row r="18" spans="1:10" x14ac:dyDescent="0.25">
      <c r="B18" s="158"/>
      <c r="C18" s="159"/>
      <c r="D18" s="160"/>
      <c r="E18" s="161"/>
      <c r="F18" s="174"/>
      <c r="G18" s="162"/>
    </row>
    <row r="19" spans="1:10" x14ac:dyDescent="0.25">
      <c r="A19" s="144" t="s">
        <v>203</v>
      </c>
      <c r="B19" s="158">
        <f>B22+-B16</f>
        <v>5531781769</v>
      </c>
      <c r="C19" s="158">
        <f t="shared" ref="C19:G19" si="1">C22+-C16</f>
        <v>2068512875</v>
      </c>
      <c r="D19" s="158">
        <f t="shared" si="1"/>
        <v>2523751750</v>
      </c>
      <c r="E19" s="158">
        <f t="shared" si="1"/>
        <v>2156188167</v>
      </c>
      <c r="F19" s="158">
        <f t="shared" si="1"/>
        <v>2156188167</v>
      </c>
      <c r="G19" s="158">
        <f t="shared" si="1"/>
        <v>1478849084</v>
      </c>
    </row>
    <row r="20" spans="1:10" s="199" customFormat="1" x14ac:dyDescent="0.25">
      <c r="A20" s="200" t="s">
        <v>204</v>
      </c>
      <c r="B20" s="198">
        <f>B19/B5</f>
        <v>0.12300546836800659</v>
      </c>
      <c r="C20" s="198">
        <f t="shared" ref="C20:G20" si="2">C19/C5</f>
        <v>7.5755851760978779E-2</v>
      </c>
      <c r="D20" s="198">
        <f t="shared" si="2"/>
        <v>8.1865332863129511E-2</v>
      </c>
      <c r="E20" s="198">
        <f t="shared" si="2"/>
        <v>9.701266255544129E-2</v>
      </c>
      <c r="F20" s="198">
        <f t="shared" si="2"/>
        <v>9.701266255544129E-2</v>
      </c>
      <c r="G20" s="198">
        <f t="shared" si="2"/>
        <v>7.8650425674843372E-2</v>
      </c>
    </row>
    <row r="21" spans="1:10" x14ac:dyDescent="0.25">
      <c r="B21" s="158"/>
      <c r="C21" s="159"/>
      <c r="D21" s="160"/>
      <c r="E21" s="161"/>
      <c r="F21" s="174"/>
      <c r="G21" s="162"/>
    </row>
    <row r="22" spans="1:10" x14ac:dyDescent="0.25">
      <c r="A22" s="145" t="s">
        <v>50</v>
      </c>
      <c r="B22" s="158">
        <v>4161487812</v>
      </c>
      <c r="C22" s="159">
        <v>553726995</v>
      </c>
      <c r="D22" s="160">
        <v>1737423261</v>
      </c>
      <c r="E22" s="161">
        <v>1603727936</v>
      </c>
      <c r="F22" s="174">
        <v>1603727936</v>
      </c>
      <c r="G22" s="162">
        <v>1222297788</v>
      </c>
      <c r="J22" s="141"/>
    </row>
    <row r="23" spans="1:10" x14ac:dyDescent="0.25">
      <c r="A23" s="144" t="s">
        <v>51</v>
      </c>
      <c r="B23" s="158">
        <v>-732338116</v>
      </c>
      <c r="C23" s="159">
        <v>39145070</v>
      </c>
      <c r="D23" s="160">
        <v>-364492082</v>
      </c>
      <c r="E23" s="161">
        <v>-313513004</v>
      </c>
      <c r="F23" s="174">
        <v>-313513004</v>
      </c>
      <c r="G23" s="162">
        <v>-231537873</v>
      </c>
      <c r="I23" s="141"/>
    </row>
    <row r="24" spans="1:10" x14ac:dyDescent="0.25">
      <c r="A24" s="145" t="s">
        <v>52</v>
      </c>
      <c r="B24" s="158">
        <v>3429149696</v>
      </c>
      <c r="C24" s="159">
        <v>592872065</v>
      </c>
      <c r="D24" s="160">
        <v>1372931179</v>
      </c>
      <c r="E24" s="161">
        <v>1290214932</v>
      </c>
      <c r="F24" s="174">
        <v>1290214932</v>
      </c>
      <c r="G24" s="162">
        <v>990759915</v>
      </c>
    </row>
    <row r="25" spans="1:10" x14ac:dyDescent="0.25">
      <c r="A25" s="145"/>
      <c r="B25" s="158"/>
      <c r="C25" s="159"/>
      <c r="D25" s="160"/>
      <c r="E25" s="161"/>
      <c r="F25" s="174"/>
      <c r="G25" s="162"/>
    </row>
    <row r="26" spans="1:10" s="199" customFormat="1" x14ac:dyDescent="0.25">
      <c r="A26" s="197" t="s">
        <v>205</v>
      </c>
      <c r="B26" s="198">
        <f>B24/B5</f>
        <v>7.6251049313671396E-2</v>
      </c>
      <c r="C26" s="198">
        <f t="shared" ref="C26:G26" si="3">C24/C5</f>
        <v>2.1712955627295954E-2</v>
      </c>
      <c r="D26" s="198">
        <f t="shared" si="3"/>
        <v>4.4535072820456226E-2</v>
      </c>
      <c r="E26" s="198">
        <f t="shared" si="3"/>
        <v>5.8050214604534391E-2</v>
      </c>
      <c r="F26" s="198">
        <f t="shared" si="3"/>
        <v>5.8050214604534391E-2</v>
      </c>
      <c r="G26" s="198">
        <f t="shared" si="3"/>
        <v>5.2692117065490658E-2</v>
      </c>
    </row>
    <row r="27" spans="1:10" x14ac:dyDescent="0.25">
      <c r="A27" s="145"/>
      <c r="B27" s="158"/>
      <c r="C27" s="159"/>
      <c r="D27" s="160"/>
      <c r="E27" s="161"/>
      <c r="F27" s="174"/>
      <c r="G27" s="162"/>
    </row>
    <row r="28" spans="1:10" x14ac:dyDescent="0.25">
      <c r="A28" s="145" t="s">
        <v>39</v>
      </c>
      <c r="B28" s="163"/>
      <c r="C28" s="164"/>
      <c r="D28" s="163"/>
      <c r="E28" s="165"/>
      <c r="F28" s="163"/>
      <c r="G28" s="166"/>
      <c r="I28" s="141"/>
    </row>
    <row r="29" spans="1:10" x14ac:dyDescent="0.25">
      <c r="A29" s="144" t="s">
        <v>53</v>
      </c>
      <c r="B29" s="158" t="s">
        <v>19</v>
      </c>
      <c r="C29" s="159" t="s">
        <v>19</v>
      </c>
      <c r="D29" s="163"/>
      <c r="E29" s="165"/>
      <c r="F29" s="163"/>
      <c r="G29" s="166"/>
    </row>
    <row r="30" spans="1:10" x14ac:dyDescent="0.25">
      <c r="A30" s="144" t="s">
        <v>54</v>
      </c>
      <c r="B30" s="163"/>
      <c r="C30" s="164"/>
      <c r="D30" s="163"/>
      <c r="E30" s="165"/>
      <c r="F30" s="163"/>
      <c r="G30" s="166"/>
    </row>
    <row r="31" spans="1:10" x14ac:dyDescent="0.25">
      <c r="A31" s="144" t="s">
        <v>55</v>
      </c>
      <c r="B31" s="158">
        <v>-35575214</v>
      </c>
      <c r="C31" s="159">
        <v>40168772</v>
      </c>
      <c r="D31" s="160">
        <v>-27712063</v>
      </c>
      <c r="E31" s="161">
        <v>-14113625</v>
      </c>
      <c r="F31" s="174">
        <v>-14113625</v>
      </c>
      <c r="G31" s="162">
        <v>-5854525</v>
      </c>
    </row>
    <row r="32" spans="1:10" x14ac:dyDescent="0.25">
      <c r="A32" s="144" t="s">
        <v>56</v>
      </c>
      <c r="B32" s="158">
        <v>10316812</v>
      </c>
      <c r="C32" s="159">
        <v>-11648944</v>
      </c>
      <c r="D32" s="160">
        <v>8036498</v>
      </c>
      <c r="E32" s="161">
        <v>4092951</v>
      </c>
      <c r="F32" s="174">
        <v>4092951</v>
      </c>
      <c r="G32" s="162">
        <v>1756358</v>
      </c>
      <c r="I32" s="141"/>
    </row>
    <row r="33" spans="1:7" x14ac:dyDescent="0.25">
      <c r="B33" s="158">
        <v>-25258402</v>
      </c>
      <c r="C33" s="159">
        <v>28519828</v>
      </c>
      <c r="D33" s="167">
        <f>D31+D32</f>
        <v>-19675565</v>
      </c>
      <c r="E33" s="161">
        <f>E31+E32</f>
        <v>-10020674</v>
      </c>
      <c r="F33" s="175">
        <f>F32+F31</f>
        <v>-10020674</v>
      </c>
      <c r="G33" s="162">
        <f>G31+G32</f>
        <v>-4098167</v>
      </c>
    </row>
    <row r="34" spans="1:7" x14ac:dyDescent="0.25">
      <c r="A34" s="144" t="s">
        <v>57</v>
      </c>
      <c r="B34" s="158">
        <v>4684650374</v>
      </c>
      <c r="C34" s="159" t="s">
        <v>19</v>
      </c>
      <c r="D34" s="163"/>
      <c r="E34" s="165"/>
      <c r="F34" s="163"/>
      <c r="G34" s="166"/>
    </row>
    <row r="35" spans="1:7" x14ac:dyDescent="0.25">
      <c r="A35" s="144" t="s">
        <v>56</v>
      </c>
      <c r="B35" s="158">
        <v>-1212338109</v>
      </c>
      <c r="C35" s="159" t="s">
        <v>19</v>
      </c>
      <c r="D35" s="163"/>
      <c r="E35" s="165"/>
      <c r="F35" s="163"/>
      <c r="G35" s="166"/>
    </row>
    <row r="36" spans="1:7" x14ac:dyDescent="0.25">
      <c r="B36" s="158">
        <v>3472312265</v>
      </c>
      <c r="C36" s="159" t="s">
        <v>19</v>
      </c>
      <c r="D36" s="163"/>
      <c r="E36" s="165"/>
      <c r="F36" s="163"/>
      <c r="G36" s="166"/>
    </row>
    <row r="37" spans="1:7" x14ac:dyDescent="0.25">
      <c r="A37" s="144" t="s">
        <v>58</v>
      </c>
      <c r="B37" s="158">
        <v>3447053863</v>
      </c>
      <c r="C37" s="159">
        <v>28519828</v>
      </c>
      <c r="D37" s="160">
        <v>-19675565</v>
      </c>
      <c r="E37" s="161">
        <v>-10020674</v>
      </c>
      <c r="F37" s="174">
        <v>-10020674</v>
      </c>
      <c r="G37" s="162">
        <v>-4098167</v>
      </c>
    </row>
    <row r="38" spans="1:7" x14ac:dyDescent="0.25">
      <c r="A38" s="145" t="s">
        <v>59</v>
      </c>
      <c r="B38" s="158">
        <v>6876203559</v>
      </c>
      <c r="C38" s="159">
        <v>621391893</v>
      </c>
      <c r="D38" s="160">
        <v>1353255614</v>
      </c>
      <c r="E38" s="161">
        <v>1280194258</v>
      </c>
      <c r="F38" s="174">
        <v>1280194258</v>
      </c>
      <c r="G38" s="162">
        <v>986661748</v>
      </c>
    </row>
    <row r="39" spans="1:7" x14ac:dyDescent="0.25">
      <c r="C39" s="149"/>
    </row>
    <row r="40" spans="1:7" x14ac:dyDescent="0.25">
      <c r="A40" s="145" t="s">
        <v>60</v>
      </c>
      <c r="B40" s="11">
        <v>12.85</v>
      </c>
      <c r="C40" s="150">
        <v>2.25</v>
      </c>
      <c r="D40" s="23">
        <v>5.46</v>
      </c>
      <c r="E40" s="152">
        <v>5.13</v>
      </c>
      <c r="F40" s="35">
        <v>5.13</v>
      </c>
      <c r="G40" s="155">
        <v>4.21</v>
      </c>
    </row>
    <row r="41" spans="1:7" x14ac:dyDescent="0.25">
      <c r="A41" s="6"/>
    </row>
    <row r="45" spans="1:7" ht="31.2" x14ac:dyDescent="0.5">
      <c r="A45" s="21"/>
    </row>
    <row r="46" spans="1:7" ht="31.8" x14ac:dyDescent="0.55000000000000004">
      <c r="A46" s="22"/>
    </row>
    <row r="47" spans="1:7" ht="15.6" x14ac:dyDescent="0.3">
      <c r="A47" s="20"/>
    </row>
    <row r="48" spans="1:7" x14ac:dyDescent="0.25">
      <c r="A48" s="19"/>
      <c r="B48" s="18"/>
      <c r="C48" s="147"/>
    </row>
    <row r="49" spans="1:3" x14ac:dyDescent="0.25">
      <c r="A49" s="13"/>
      <c r="B49" s="16"/>
      <c r="C49" s="148"/>
    </row>
    <row r="50" spans="1:3" x14ac:dyDescent="0.25">
      <c r="A50" s="13"/>
      <c r="B50" s="16"/>
      <c r="C50" s="148"/>
    </row>
    <row r="51" spans="1:3" x14ac:dyDescent="0.25">
      <c r="A51" s="14"/>
      <c r="B51" s="16"/>
      <c r="C51" s="148"/>
    </row>
    <row r="52" spans="1:3" x14ac:dyDescent="0.25">
      <c r="A52" s="13"/>
      <c r="B52" s="16"/>
      <c r="C52" s="148"/>
    </row>
    <row r="53" spans="1:3" x14ac:dyDescent="0.25">
      <c r="A53" s="13"/>
      <c r="B53" s="16"/>
      <c r="C53" s="148"/>
    </row>
    <row r="54" spans="1:3" x14ac:dyDescent="0.25">
      <c r="A54" s="13"/>
      <c r="B54" s="16"/>
      <c r="C54" s="148"/>
    </row>
    <row r="55" spans="1:3" x14ac:dyDescent="0.25">
      <c r="A55" s="13"/>
      <c r="B55" s="16"/>
      <c r="C55" s="148"/>
    </row>
    <row r="56" spans="1:3" x14ac:dyDescent="0.25">
      <c r="A56" s="13"/>
      <c r="B56" s="16"/>
      <c r="C56" s="148"/>
    </row>
    <row r="57" spans="1:3" x14ac:dyDescent="0.25">
      <c r="A57" s="13"/>
      <c r="B57" s="16"/>
      <c r="C57" s="148"/>
    </row>
    <row r="58" spans="1:3" x14ac:dyDescent="0.25">
      <c r="B58" s="16"/>
      <c r="C58" s="148"/>
    </row>
    <row r="59" spans="1:3" x14ac:dyDescent="0.25">
      <c r="A59" s="14"/>
      <c r="B59" s="16"/>
      <c r="C59" s="148"/>
    </row>
    <row r="60" spans="1:3" x14ac:dyDescent="0.25">
      <c r="A60" s="13"/>
      <c r="B60" s="16"/>
      <c r="C60" s="148"/>
    </row>
    <row r="61" spans="1:3" x14ac:dyDescent="0.25">
      <c r="A61" s="14"/>
      <c r="B61" s="16"/>
      <c r="C61" s="148"/>
    </row>
    <row r="62" spans="1:3" x14ac:dyDescent="0.25">
      <c r="A62" s="14"/>
    </row>
    <row r="63" spans="1:3" x14ac:dyDescent="0.25">
      <c r="A63" s="13"/>
    </row>
    <row r="64" spans="1:3" x14ac:dyDescent="0.25">
      <c r="A64" s="13"/>
      <c r="B64" s="16"/>
      <c r="C64" s="148"/>
    </row>
    <row r="65" spans="1:3" x14ac:dyDescent="0.25">
      <c r="A65" s="13"/>
      <c r="B65" s="16"/>
      <c r="C65" s="148"/>
    </row>
    <row r="66" spans="1:3" x14ac:dyDescent="0.25">
      <c r="A66" s="13"/>
      <c r="B66" s="16"/>
      <c r="C66" s="148"/>
    </row>
    <row r="67" spans="1:3" x14ac:dyDescent="0.25">
      <c r="A67" s="14"/>
      <c r="B67" s="16"/>
      <c r="C67" s="148"/>
    </row>
    <row r="68" spans="1:3" x14ac:dyDescent="0.25">
      <c r="A68" s="14"/>
      <c r="B68" s="23"/>
      <c r="C68" s="150"/>
    </row>
    <row r="73" spans="1:3" ht="31.2" x14ac:dyDescent="0.5">
      <c r="A73" s="34"/>
    </row>
    <row r="74" spans="1:3" ht="31.8" x14ac:dyDescent="0.55000000000000004">
      <c r="A74" s="36"/>
    </row>
    <row r="75" spans="1:3" ht="15.6" x14ac:dyDescent="0.3">
      <c r="A75" s="33"/>
    </row>
    <row r="76" spans="1:3" x14ac:dyDescent="0.25">
      <c r="A76" s="32"/>
      <c r="B76" s="30"/>
      <c r="C76" s="147"/>
    </row>
    <row r="77" spans="1:3" x14ac:dyDescent="0.25">
      <c r="A77" s="25"/>
      <c r="B77" s="28"/>
      <c r="C77" s="148"/>
    </row>
    <row r="78" spans="1:3" x14ac:dyDescent="0.25">
      <c r="A78" s="25"/>
      <c r="B78" s="28"/>
      <c r="C78" s="148"/>
    </row>
    <row r="79" spans="1:3" x14ac:dyDescent="0.25">
      <c r="A79" s="26"/>
      <c r="B79" s="28"/>
      <c r="C79" s="148"/>
    </row>
    <row r="80" spans="1:3" x14ac:dyDescent="0.25">
      <c r="A80" s="25"/>
      <c r="B80" s="28"/>
      <c r="C80" s="148"/>
    </row>
    <row r="81" spans="1:3" x14ac:dyDescent="0.25">
      <c r="A81" s="25"/>
      <c r="B81" s="28"/>
      <c r="C81" s="148"/>
    </row>
    <row r="82" spans="1:3" x14ac:dyDescent="0.25">
      <c r="A82" s="25"/>
      <c r="B82" s="28"/>
      <c r="C82" s="148"/>
    </row>
    <row r="83" spans="1:3" x14ac:dyDescent="0.25">
      <c r="A83" s="25"/>
      <c r="B83" s="28"/>
      <c r="C83" s="148"/>
    </row>
    <row r="84" spans="1:3" x14ac:dyDescent="0.25">
      <c r="A84" s="25"/>
      <c r="B84" s="28"/>
      <c r="C84" s="148"/>
    </row>
    <row r="85" spans="1:3" x14ac:dyDescent="0.25">
      <c r="B85" s="28"/>
      <c r="C85" s="148"/>
    </row>
    <row r="86" spans="1:3" x14ac:dyDescent="0.25">
      <c r="A86" s="26"/>
      <c r="B86" s="28"/>
      <c r="C86" s="148"/>
    </row>
    <row r="87" spans="1:3" x14ac:dyDescent="0.25">
      <c r="A87" s="25"/>
      <c r="B87" s="28"/>
      <c r="C87" s="148"/>
    </row>
    <row r="88" spans="1:3" x14ac:dyDescent="0.25">
      <c r="A88" s="26"/>
      <c r="B88" s="28"/>
      <c r="C88" s="148"/>
    </row>
    <row r="89" spans="1:3" x14ac:dyDescent="0.25">
      <c r="A89" s="26"/>
    </row>
    <row r="90" spans="1:3" x14ac:dyDescent="0.25">
      <c r="A90" s="25"/>
    </row>
    <row r="91" spans="1:3" x14ac:dyDescent="0.25">
      <c r="A91" s="25"/>
      <c r="B91" s="28"/>
      <c r="C91" s="148"/>
    </row>
    <row r="92" spans="1:3" x14ac:dyDescent="0.25">
      <c r="A92" s="25"/>
      <c r="B92" s="28"/>
      <c r="C92" s="148"/>
    </row>
    <row r="93" spans="1:3" x14ac:dyDescent="0.25">
      <c r="A93" s="25"/>
      <c r="B93" s="28"/>
      <c r="C93" s="148"/>
    </row>
    <row r="94" spans="1:3" x14ac:dyDescent="0.25">
      <c r="A94" s="26"/>
      <c r="B94" s="28"/>
      <c r="C94" s="148"/>
    </row>
    <row r="95" spans="1:3" x14ac:dyDescent="0.25">
      <c r="A95" s="26"/>
      <c r="B95" s="35"/>
      <c r="C95" s="1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B42F-57E8-40E6-B82C-1005AC34153E}">
  <dimension ref="A1:G4"/>
  <sheetViews>
    <sheetView workbookViewId="0">
      <selection sqref="A1:G4"/>
    </sheetView>
  </sheetViews>
  <sheetFormatPr defaultRowHeight="13.2" x14ac:dyDescent="0.25"/>
  <cols>
    <col min="1" max="1" width="21.77734375" bestFit="1" customWidth="1"/>
  </cols>
  <sheetData>
    <row r="1" spans="1:7" x14ac:dyDescent="0.25">
      <c r="A1" s="201"/>
      <c r="B1" s="203">
        <v>2021</v>
      </c>
      <c r="C1" s="203">
        <v>2020</v>
      </c>
      <c r="D1" s="203">
        <v>2019</v>
      </c>
      <c r="E1" s="203">
        <v>2018</v>
      </c>
      <c r="F1" s="203">
        <v>2018</v>
      </c>
      <c r="G1" s="203">
        <v>2017</v>
      </c>
    </row>
    <row r="2" spans="1:7" x14ac:dyDescent="0.25">
      <c r="A2" s="204" t="s">
        <v>202</v>
      </c>
      <c r="B2" s="202">
        <v>0.14879019259256995</v>
      </c>
      <c r="C2" s="202">
        <v>9.5859711363293007E-2</v>
      </c>
      <c r="D2" s="202">
        <v>0.10344441431764079</v>
      </c>
      <c r="E2" s="202">
        <v>0.1257280405877047</v>
      </c>
      <c r="F2" s="202">
        <v>0.1257280405877047</v>
      </c>
      <c r="G2" s="202">
        <v>0.10452941242082806</v>
      </c>
    </row>
    <row r="3" spans="1:7" x14ac:dyDescent="0.25">
      <c r="A3" s="204" t="s">
        <v>204</v>
      </c>
      <c r="B3" s="202">
        <v>0.12300546836800659</v>
      </c>
      <c r="C3" s="202">
        <v>7.5755851760978779E-2</v>
      </c>
      <c r="D3" s="202">
        <v>8.1865332863129511E-2</v>
      </c>
      <c r="E3" s="202">
        <v>9.701266255544129E-2</v>
      </c>
      <c r="F3" s="202">
        <v>9.701266255544129E-2</v>
      </c>
      <c r="G3" s="202">
        <v>7.8650425674843372E-2</v>
      </c>
    </row>
    <row r="4" spans="1:7" x14ac:dyDescent="0.25">
      <c r="A4" s="204" t="s">
        <v>205</v>
      </c>
      <c r="B4" s="202">
        <v>7.6251049313671396E-2</v>
      </c>
      <c r="C4" s="202">
        <v>2.1712955627295954E-2</v>
      </c>
      <c r="D4" s="202">
        <v>4.4535072820456226E-2</v>
      </c>
      <c r="E4" s="202">
        <v>5.8050214604534391E-2</v>
      </c>
      <c r="F4" s="202">
        <v>5.8050214604534391E-2</v>
      </c>
      <c r="G4" s="202">
        <v>5.2692117065490658E-2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6"/>
  <sheetViews>
    <sheetView workbookViewId="0">
      <selection activeCell="H7" sqref="H7"/>
    </sheetView>
  </sheetViews>
  <sheetFormatPr defaultRowHeight="13.2" x14ac:dyDescent="0.25"/>
  <cols>
    <col min="1" max="1" width="59.33203125" customWidth="1"/>
    <col min="2" max="3" width="12.88671875" bestFit="1" customWidth="1"/>
    <col min="4" max="6" width="11.5546875" bestFit="1" customWidth="1"/>
  </cols>
  <sheetData>
    <row r="1" spans="1:9" ht="31.2" x14ac:dyDescent="0.5">
      <c r="A1" s="12" t="s">
        <v>61</v>
      </c>
    </row>
    <row r="2" spans="1:9" ht="15.6" x14ac:dyDescent="0.3">
      <c r="A2" s="1" t="s">
        <v>40</v>
      </c>
    </row>
    <row r="4" spans="1:9" x14ac:dyDescent="0.25">
      <c r="A4" s="2" t="s">
        <v>0</v>
      </c>
      <c r="B4" s="3">
        <v>2021</v>
      </c>
      <c r="C4" s="4">
        <v>2020</v>
      </c>
      <c r="D4" s="18">
        <v>2019</v>
      </c>
      <c r="E4" s="31">
        <v>2018</v>
      </c>
      <c r="F4" s="30">
        <v>2017</v>
      </c>
      <c r="G4" s="18"/>
      <c r="H4" s="17"/>
    </row>
    <row r="5" spans="1:9" x14ac:dyDescent="0.25">
      <c r="A5" s="5" t="s">
        <v>62</v>
      </c>
    </row>
    <row r="6" spans="1:9" x14ac:dyDescent="0.25">
      <c r="A6" s="6" t="s">
        <v>63</v>
      </c>
      <c r="B6" s="7">
        <v>-3770313171</v>
      </c>
      <c r="C6" s="8">
        <v>1292104227</v>
      </c>
      <c r="D6" s="16">
        <v>1844467070</v>
      </c>
      <c r="E6" s="28">
        <v>1953567791</v>
      </c>
      <c r="F6" s="27">
        <v>-756354072</v>
      </c>
      <c r="G6" s="16"/>
      <c r="H6" s="15"/>
      <c r="I6" s="27"/>
    </row>
    <row r="7" spans="1:9" x14ac:dyDescent="0.25">
      <c r="A7" s="6" t="s">
        <v>64</v>
      </c>
      <c r="B7" s="7">
        <v>-8259945</v>
      </c>
      <c r="C7" s="8">
        <v>-1373488</v>
      </c>
      <c r="D7" s="16">
        <v>8007925</v>
      </c>
      <c r="E7" s="28">
        <v>7533459</v>
      </c>
      <c r="F7" s="27">
        <v>1142685</v>
      </c>
      <c r="G7" s="16"/>
      <c r="H7" s="15"/>
      <c r="I7" s="27"/>
    </row>
    <row r="8" spans="1:9" x14ac:dyDescent="0.25">
      <c r="A8" s="6" t="s">
        <v>65</v>
      </c>
      <c r="B8" s="7">
        <v>-100000</v>
      </c>
      <c r="C8" s="8">
        <v>1685000</v>
      </c>
      <c r="D8" s="16">
        <v>-585000</v>
      </c>
      <c r="E8" s="28">
        <v>-2587004</v>
      </c>
      <c r="F8" s="25" t="s">
        <v>19</v>
      </c>
      <c r="G8" s="16"/>
      <c r="H8" s="15"/>
      <c r="I8" s="25"/>
    </row>
    <row r="9" spans="1:9" x14ac:dyDescent="0.25">
      <c r="A9" s="6" t="s">
        <v>66</v>
      </c>
      <c r="B9" s="7">
        <v>-13747817</v>
      </c>
      <c r="C9" s="8">
        <v>-13518823</v>
      </c>
      <c r="D9" s="16">
        <v>-7075928</v>
      </c>
      <c r="E9" s="28">
        <v>-5885829</v>
      </c>
      <c r="F9" s="27">
        <v>-5504109</v>
      </c>
      <c r="G9" s="16"/>
      <c r="H9" s="13"/>
      <c r="I9" s="27"/>
    </row>
    <row r="10" spans="1:9" x14ac:dyDescent="0.25">
      <c r="A10" s="6" t="s">
        <v>67</v>
      </c>
      <c r="B10" s="7">
        <v>-30465912</v>
      </c>
      <c r="C10" s="8">
        <v>-73986000</v>
      </c>
      <c r="D10" s="16">
        <v>-46140000</v>
      </c>
      <c r="E10" s="28">
        <v>-65304280</v>
      </c>
      <c r="F10" s="27">
        <v>-68013042</v>
      </c>
      <c r="G10" s="16"/>
      <c r="H10" s="15"/>
      <c r="I10" s="27"/>
    </row>
    <row r="11" spans="1:9" x14ac:dyDescent="0.25">
      <c r="A11" s="6" t="s">
        <v>68</v>
      </c>
      <c r="B11" s="7">
        <v>-1679267448</v>
      </c>
      <c r="C11" s="8">
        <v>-1480421710</v>
      </c>
      <c r="D11" s="16">
        <v>-566504023</v>
      </c>
      <c r="E11" s="28">
        <v>-517684178</v>
      </c>
      <c r="F11" s="27">
        <v>-219433011</v>
      </c>
      <c r="G11" s="16"/>
      <c r="H11" s="15"/>
      <c r="I11" s="27"/>
    </row>
    <row r="12" spans="1:9" x14ac:dyDescent="0.25">
      <c r="A12" s="6" t="s">
        <v>69</v>
      </c>
      <c r="B12" s="7">
        <v>-595001597</v>
      </c>
      <c r="C12" s="8">
        <v>-885450919</v>
      </c>
      <c r="D12" s="16">
        <v>-196005398</v>
      </c>
      <c r="E12" s="28">
        <v>-437312304</v>
      </c>
      <c r="F12" s="27">
        <v>-224664034</v>
      </c>
      <c r="G12" s="16"/>
      <c r="H12" s="15"/>
      <c r="I12" s="27"/>
    </row>
    <row r="13" spans="1:9" x14ac:dyDescent="0.25">
      <c r="A13" s="5" t="s">
        <v>70</v>
      </c>
      <c r="B13" s="7">
        <v>-6097155890</v>
      </c>
      <c r="C13" s="8">
        <v>-1160961713</v>
      </c>
      <c r="D13" s="16">
        <v>1011489522</v>
      </c>
      <c r="E13" s="28">
        <v>932327655</v>
      </c>
      <c r="F13" s="27">
        <v>-1272825583</v>
      </c>
      <c r="G13" s="16"/>
      <c r="H13" s="13"/>
      <c r="I13" s="27"/>
    </row>
    <row r="14" spans="1:9" x14ac:dyDescent="0.25">
      <c r="A14" s="5" t="s">
        <v>71</v>
      </c>
      <c r="G14" s="16"/>
      <c r="H14" s="15"/>
    </row>
    <row r="15" spans="1:9" x14ac:dyDescent="0.25">
      <c r="A15" s="6" t="s">
        <v>72</v>
      </c>
      <c r="B15" s="7">
        <v>-1289776768</v>
      </c>
      <c r="C15" s="8">
        <v>-1554198184</v>
      </c>
      <c r="D15" s="16">
        <v>-2435377700</v>
      </c>
      <c r="E15" s="28">
        <v>-2205109816</v>
      </c>
      <c r="F15" s="27">
        <v>-473866042</v>
      </c>
      <c r="G15" s="16"/>
      <c r="H15" s="15"/>
      <c r="I15" s="27"/>
    </row>
    <row r="16" spans="1:9" x14ac:dyDescent="0.25">
      <c r="A16" s="6" t="s">
        <v>73</v>
      </c>
      <c r="B16" s="7">
        <v>11471750</v>
      </c>
      <c r="C16" s="8">
        <v>45880820</v>
      </c>
      <c r="D16" s="16">
        <v>5975255</v>
      </c>
      <c r="E16" s="28">
        <v>2158500</v>
      </c>
      <c r="F16" s="27">
        <v>2641480</v>
      </c>
      <c r="I16" s="27"/>
    </row>
    <row r="17" spans="1:9" x14ac:dyDescent="0.25">
      <c r="A17" s="6" t="s">
        <v>74</v>
      </c>
      <c r="B17" s="7">
        <v>15684793</v>
      </c>
      <c r="C17" s="8">
        <v>38775991</v>
      </c>
      <c r="D17" s="16">
        <v>5644619</v>
      </c>
      <c r="E17" s="28">
        <v>23108723</v>
      </c>
      <c r="F17" s="27">
        <v>18812847</v>
      </c>
      <c r="G17" s="16"/>
      <c r="H17" s="15"/>
      <c r="I17" s="27"/>
    </row>
    <row r="18" spans="1:9" x14ac:dyDescent="0.25">
      <c r="A18" s="5" t="s">
        <v>75</v>
      </c>
      <c r="B18" s="7">
        <v>-1262620225</v>
      </c>
      <c r="C18" s="8">
        <v>-1469541373</v>
      </c>
      <c r="D18" s="16">
        <v>-2423757826</v>
      </c>
      <c r="E18" s="28">
        <v>-2179842593</v>
      </c>
      <c r="F18" s="27">
        <v>-452411715</v>
      </c>
      <c r="G18" s="16"/>
      <c r="H18" s="15"/>
      <c r="I18" s="27"/>
    </row>
    <row r="19" spans="1:9" x14ac:dyDescent="0.25">
      <c r="A19" s="5" t="s">
        <v>76</v>
      </c>
      <c r="G19" s="16"/>
      <c r="H19" s="15"/>
    </row>
    <row r="20" spans="1:9" x14ac:dyDescent="0.25">
      <c r="A20" s="6" t="s">
        <v>77</v>
      </c>
      <c r="B20" s="7">
        <v>1260829582</v>
      </c>
      <c r="C20" s="8">
        <v>135403007</v>
      </c>
      <c r="D20" s="16">
        <v>2510954259</v>
      </c>
      <c r="E20" s="28">
        <v>797287429</v>
      </c>
      <c r="F20" s="27">
        <v>-407495915</v>
      </c>
      <c r="G20" s="16"/>
      <c r="H20" s="15"/>
      <c r="I20" s="27"/>
    </row>
    <row r="21" spans="1:9" x14ac:dyDescent="0.25">
      <c r="A21" s="6" t="s">
        <v>78</v>
      </c>
      <c r="B21" s="7">
        <v>4552415863</v>
      </c>
      <c r="C21" s="8">
        <v>2515531165</v>
      </c>
      <c r="D21" s="16">
        <v>1491820367</v>
      </c>
      <c r="E21" s="28">
        <v>-436535304</v>
      </c>
      <c r="F21" s="27">
        <v>3787500501</v>
      </c>
      <c r="I21" s="25"/>
    </row>
    <row r="22" spans="1:9" x14ac:dyDescent="0.25">
      <c r="A22" s="6" t="s">
        <v>79</v>
      </c>
      <c r="B22" s="7">
        <v>2737404192</v>
      </c>
      <c r="C22" s="6" t="s">
        <v>19</v>
      </c>
      <c r="D22" s="24"/>
      <c r="E22" s="29" t="s">
        <v>19</v>
      </c>
      <c r="F22" s="27">
        <v>1257998250</v>
      </c>
      <c r="G22" s="24"/>
      <c r="H22" s="15"/>
      <c r="I22" s="27"/>
    </row>
    <row r="23" spans="1:9" x14ac:dyDescent="0.25">
      <c r="A23" s="6" t="s">
        <v>80</v>
      </c>
      <c r="B23" s="7">
        <v>-11522798</v>
      </c>
      <c r="C23" s="6" t="s">
        <v>19</v>
      </c>
      <c r="E23" s="29" t="s">
        <v>19</v>
      </c>
      <c r="F23" s="27">
        <v>-12340105</v>
      </c>
      <c r="G23" s="16"/>
      <c r="H23" s="15"/>
      <c r="I23" s="27"/>
    </row>
    <row r="24" spans="1:9" x14ac:dyDescent="0.25">
      <c r="A24" s="6" t="s">
        <v>81</v>
      </c>
      <c r="B24" s="9" t="s">
        <v>19</v>
      </c>
      <c r="C24" s="8">
        <v>-441290698</v>
      </c>
      <c r="G24" s="16"/>
      <c r="H24" s="15"/>
      <c r="I24" s="27"/>
    </row>
    <row r="25" spans="1:9" x14ac:dyDescent="0.25">
      <c r="A25" s="6" t="s">
        <v>82</v>
      </c>
      <c r="B25" s="7">
        <v>-551529318</v>
      </c>
      <c r="C25" s="6" t="s">
        <v>19</v>
      </c>
      <c r="D25" s="16">
        <v>-228023687</v>
      </c>
      <c r="E25" s="28">
        <v>-37082301</v>
      </c>
      <c r="F25" s="27">
        <v>-345213069</v>
      </c>
      <c r="G25" s="16"/>
      <c r="H25" s="15"/>
      <c r="I25" s="27"/>
    </row>
    <row r="26" spans="1:9" x14ac:dyDescent="0.25">
      <c r="A26" s="6" t="s">
        <v>83</v>
      </c>
      <c r="B26" s="7">
        <v>-752453350</v>
      </c>
      <c r="C26" s="8">
        <v>-301269775</v>
      </c>
      <c r="D26" s="16">
        <v>-551160388</v>
      </c>
      <c r="E26" s="28">
        <v>-163784311</v>
      </c>
      <c r="F26" s="27">
        <v>-613166100</v>
      </c>
      <c r="G26" s="16"/>
      <c r="H26" s="15"/>
      <c r="I26" s="27"/>
    </row>
    <row r="27" spans="1:9" x14ac:dyDescent="0.25">
      <c r="A27" s="5" t="s">
        <v>84</v>
      </c>
      <c r="B27" s="7">
        <v>7235144171</v>
      </c>
      <c r="C27" s="8">
        <v>1908373699</v>
      </c>
      <c r="D27" s="16">
        <v>3223590551</v>
      </c>
      <c r="E27" s="28">
        <v>159885513</v>
      </c>
      <c r="F27" s="27">
        <v>3667283563</v>
      </c>
      <c r="G27" s="16"/>
      <c r="H27" s="15"/>
      <c r="I27" s="27"/>
    </row>
    <row r="28" spans="1:9" x14ac:dyDescent="0.25">
      <c r="A28" s="5" t="s">
        <v>85</v>
      </c>
      <c r="B28" s="7">
        <v>-124631944</v>
      </c>
      <c r="C28" s="8">
        <v>-722129387</v>
      </c>
      <c r="D28" s="16">
        <v>1811322247</v>
      </c>
      <c r="E28" s="28">
        <v>-1087629425</v>
      </c>
      <c r="F28" s="27">
        <v>1942046265</v>
      </c>
      <c r="G28" s="16"/>
      <c r="H28" s="15"/>
      <c r="I28" s="27"/>
    </row>
    <row r="29" spans="1:9" x14ac:dyDescent="0.25">
      <c r="A29" s="5" t="s">
        <v>86</v>
      </c>
      <c r="B29" s="7">
        <v>2340364332</v>
      </c>
      <c r="C29" s="8">
        <v>3062493719</v>
      </c>
      <c r="D29" s="16">
        <v>1251171472</v>
      </c>
      <c r="E29" s="28">
        <v>2338800897</v>
      </c>
      <c r="F29" s="27">
        <v>396754632</v>
      </c>
      <c r="G29" s="16"/>
      <c r="H29" s="15"/>
      <c r="I29" s="27"/>
    </row>
    <row r="30" spans="1:9" x14ac:dyDescent="0.25">
      <c r="A30" s="5" t="s">
        <v>87</v>
      </c>
      <c r="B30" s="7">
        <v>2216929138</v>
      </c>
      <c r="C30" s="8">
        <v>2340364332</v>
      </c>
      <c r="D30" s="16">
        <v>3062493719</v>
      </c>
      <c r="E30" s="28">
        <v>1251171472</v>
      </c>
      <c r="F30" s="27">
        <v>2338800897</v>
      </c>
      <c r="G30" s="16"/>
      <c r="H30" s="15"/>
      <c r="I30" s="27"/>
    </row>
    <row r="35" spans="1:3" ht="31.2" x14ac:dyDescent="0.5">
      <c r="A35" s="21" t="s">
        <v>61</v>
      </c>
    </row>
    <row r="36" spans="1:3" ht="15.6" x14ac:dyDescent="0.3">
      <c r="A36" s="20" t="s">
        <v>88</v>
      </c>
    </row>
    <row r="38" spans="1:3" x14ac:dyDescent="0.25">
      <c r="A38" s="19" t="s">
        <v>0</v>
      </c>
      <c r="B38" s="18">
        <v>2019</v>
      </c>
      <c r="C38" s="17">
        <v>2018</v>
      </c>
    </row>
    <row r="39" spans="1:3" x14ac:dyDescent="0.25">
      <c r="A39" s="14" t="s">
        <v>62</v>
      </c>
    </row>
    <row r="40" spans="1:3" x14ac:dyDescent="0.25">
      <c r="A40" s="13" t="s">
        <v>89</v>
      </c>
      <c r="B40" s="16">
        <v>1844467070</v>
      </c>
      <c r="C40" s="15">
        <v>1953567791</v>
      </c>
    </row>
    <row r="41" spans="1:3" x14ac:dyDescent="0.25">
      <c r="A41" s="13" t="s">
        <v>90</v>
      </c>
      <c r="B41" s="16">
        <v>8007925</v>
      </c>
      <c r="C41" s="15">
        <v>7533459</v>
      </c>
    </row>
    <row r="42" spans="1:3" x14ac:dyDescent="0.25">
      <c r="A42" s="13" t="s">
        <v>91</v>
      </c>
      <c r="B42" s="16">
        <v>-585000</v>
      </c>
      <c r="C42" s="15">
        <v>-2587004</v>
      </c>
    </row>
    <row r="43" spans="1:3" x14ac:dyDescent="0.25">
      <c r="A43" s="13" t="s">
        <v>92</v>
      </c>
      <c r="B43" s="16">
        <v>400000</v>
      </c>
      <c r="C43" s="13" t="s">
        <v>19</v>
      </c>
    </row>
    <row r="44" spans="1:3" x14ac:dyDescent="0.25">
      <c r="A44" s="13" t="s">
        <v>66</v>
      </c>
      <c r="B44" s="16">
        <v>-7075928</v>
      </c>
      <c r="C44" s="15">
        <v>-5885829</v>
      </c>
    </row>
    <row r="45" spans="1:3" x14ac:dyDescent="0.25">
      <c r="A45" s="13" t="s">
        <v>68</v>
      </c>
      <c r="B45" s="16">
        <v>-566504023</v>
      </c>
      <c r="C45" s="15">
        <v>-517684178</v>
      </c>
    </row>
    <row r="46" spans="1:3" x14ac:dyDescent="0.25">
      <c r="A46" s="13" t="s">
        <v>67</v>
      </c>
      <c r="B46" s="16">
        <v>-46140000</v>
      </c>
      <c r="C46" s="15">
        <v>-65304280</v>
      </c>
    </row>
    <row r="47" spans="1:3" x14ac:dyDescent="0.25">
      <c r="A47" s="13" t="s">
        <v>93</v>
      </c>
      <c r="B47" s="16">
        <v>-25075124</v>
      </c>
      <c r="C47" s="13" t="s">
        <v>19</v>
      </c>
    </row>
    <row r="48" spans="1:3" x14ac:dyDescent="0.25">
      <c r="A48" s="13" t="s">
        <v>69</v>
      </c>
      <c r="B48" s="16">
        <v>-196005398</v>
      </c>
      <c r="C48" s="15">
        <v>-437312304</v>
      </c>
    </row>
    <row r="49" spans="1:3" x14ac:dyDescent="0.25">
      <c r="A49" s="14" t="s">
        <v>94</v>
      </c>
      <c r="B49" s="16">
        <v>1011489522</v>
      </c>
      <c r="C49" s="15">
        <v>932327655</v>
      </c>
    </row>
    <row r="50" spans="1:3" x14ac:dyDescent="0.25">
      <c r="A50" s="14" t="s">
        <v>71</v>
      </c>
    </row>
    <row r="51" spans="1:3" x14ac:dyDescent="0.25">
      <c r="A51" s="13" t="s">
        <v>95</v>
      </c>
      <c r="B51" s="16">
        <v>-2435377700</v>
      </c>
      <c r="C51" s="15">
        <v>-2205109816</v>
      </c>
    </row>
    <row r="52" spans="1:3" x14ac:dyDescent="0.25">
      <c r="A52" s="13" t="s">
        <v>73</v>
      </c>
      <c r="B52" s="16">
        <v>5975255</v>
      </c>
      <c r="C52" s="15">
        <v>2158500</v>
      </c>
    </row>
    <row r="53" spans="1:3" x14ac:dyDescent="0.25">
      <c r="A53" s="13" t="s">
        <v>74</v>
      </c>
      <c r="B53" s="16">
        <v>5644619</v>
      </c>
      <c r="C53" s="15">
        <v>23108723</v>
      </c>
    </row>
    <row r="54" spans="1:3" x14ac:dyDescent="0.25">
      <c r="A54" s="14" t="s">
        <v>75</v>
      </c>
      <c r="B54" s="16">
        <v>-2423757826</v>
      </c>
      <c r="C54" s="15">
        <v>-2179842593</v>
      </c>
    </row>
    <row r="55" spans="1:3" x14ac:dyDescent="0.25">
      <c r="A55" s="14" t="s">
        <v>76</v>
      </c>
    </row>
    <row r="56" spans="1:3" x14ac:dyDescent="0.25">
      <c r="A56" s="13" t="s">
        <v>96</v>
      </c>
      <c r="B56" s="24" t="s">
        <v>19</v>
      </c>
      <c r="C56" s="15">
        <v>-31712571</v>
      </c>
    </row>
    <row r="57" spans="1:3" x14ac:dyDescent="0.25">
      <c r="A57" s="13" t="s">
        <v>97</v>
      </c>
      <c r="B57" s="16">
        <v>2510954259</v>
      </c>
      <c r="C57" s="15">
        <v>829000000</v>
      </c>
    </row>
    <row r="58" spans="1:3" x14ac:dyDescent="0.25">
      <c r="A58" s="13" t="s">
        <v>98</v>
      </c>
      <c r="B58" s="16">
        <v>1491820367</v>
      </c>
      <c r="C58" s="15">
        <v>-436535304</v>
      </c>
    </row>
    <row r="59" spans="1:3" x14ac:dyDescent="0.25">
      <c r="A59" s="13" t="s">
        <v>99</v>
      </c>
      <c r="B59" s="16">
        <v>-228023687</v>
      </c>
      <c r="C59" s="15">
        <v>-37082301</v>
      </c>
    </row>
    <row r="60" spans="1:3" x14ac:dyDescent="0.25">
      <c r="A60" s="13" t="s">
        <v>83</v>
      </c>
      <c r="B60" s="16">
        <v>-551160388</v>
      </c>
      <c r="C60" s="15">
        <v>-163784311</v>
      </c>
    </row>
    <row r="61" spans="1:3" x14ac:dyDescent="0.25">
      <c r="A61" s="14" t="s">
        <v>84</v>
      </c>
      <c r="B61" s="16">
        <v>3223590551</v>
      </c>
      <c r="C61" s="15">
        <v>159885513</v>
      </c>
    </row>
    <row r="62" spans="1:3" x14ac:dyDescent="0.25">
      <c r="A62" s="14" t="s">
        <v>100</v>
      </c>
      <c r="B62" s="16">
        <v>1811322247</v>
      </c>
      <c r="C62" s="15">
        <v>-1087629425</v>
      </c>
    </row>
    <row r="63" spans="1:3" x14ac:dyDescent="0.25">
      <c r="A63" s="14" t="s">
        <v>86</v>
      </c>
      <c r="B63" s="16">
        <v>1251171472</v>
      </c>
      <c r="C63" s="15">
        <v>2338800897</v>
      </c>
    </row>
    <row r="64" spans="1:3" x14ac:dyDescent="0.25">
      <c r="A64" s="14" t="s">
        <v>87</v>
      </c>
      <c r="B64" s="16">
        <v>3062493719</v>
      </c>
      <c r="C64" s="15">
        <v>1251171472</v>
      </c>
    </row>
    <row r="68" spans="1:3" ht="31.2" x14ac:dyDescent="0.5">
      <c r="A68" s="34" t="s">
        <v>61</v>
      </c>
    </row>
    <row r="69" spans="1:3" ht="15.6" x14ac:dyDescent="0.3">
      <c r="A69" s="33" t="s">
        <v>101</v>
      </c>
    </row>
    <row r="71" spans="1:3" x14ac:dyDescent="0.25">
      <c r="A71" s="32" t="s">
        <v>0</v>
      </c>
      <c r="B71" s="31">
        <v>2018</v>
      </c>
      <c r="C71" s="30">
        <v>2017</v>
      </c>
    </row>
    <row r="72" spans="1:3" x14ac:dyDescent="0.25">
      <c r="A72" s="26" t="s">
        <v>62</v>
      </c>
    </row>
    <row r="73" spans="1:3" x14ac:dyDescent="0.25">
      <c r="A73" s="25" t="s">
        <v>102</v>
      </c>
      <c r="B73" s="28">
        <v>1953567791</v>
      </c>
      <c r="C73" s="27">
        <v>-756354072</v>
      </c>
    </row>
    <row r="74" spans="1:3" x14ac:dyDescent="0.25">
      <c r="A74" s="25" t="s">
        <v>90</v>
      </c>
      <c r="B74" s="28">
        <v>7533459</v>
      </c>
      <c r="C74" s="27">
        <v>1142685</v>
      </c>
    </row>
    <row r="75" spans="1:3" x14ac:dyDescent="0.25">
      <c r="A75" s="25" t="s">
        <v>103</v>
      </c>
      <c r="B75" s="28">
        <v>-2587004</v>
      </c>
      <c r="C75" s="25" t="s">
        <v>19</v>
      </c>
    </row>
    <row r="76" spans="1:3" x14ac:dyDescent="0.25">
      <c r="A76" s="25" t="s">
        <v>66</v>
      </c>
      <c r="B76" s="28">
        <v>-5885829</v>
      </c>
      <c r="C76" s="27">
        <v>-5504109</v>
      </c>
    </row>
    <row r="77" spans="1:3" x14ac:dyDescent="0.25">
      <c r="A77" s="25" t="s">
        <v>68</v>
      </c>
      <c r="B77" s="28">
        <v>-517684178</v>
      </c>
      <c r="C77" s="27">
        <v>-219433011</v>
      </c>
    </row>
    <row r="78" spans="1:3" x14ac:dyDescent="0.25">
      <c r="A78" s="25" t="s">
        <v>67</v>
      </c>
      <c r="B78" s="28">
        <v>-65304280</v>
      </c>
      <c r="C78" s="27">
        <v>-68013042</v>
      </c>
    </row>
    <row r="79" spans="1:3" x14ac:dyDescent="0.25">
      <c r="A79" s="25" t="s">
        <v>104</v>
      </c>
      <c r="B79" s="28">
        <v>-437312304</v>
      </c>
      <c r="C79" s="27">
        <v>-224664034</v>
      </c>
    </row>
    <row r="80" spans="1:3" x14ac:dyDescent="0.25">
      <c r="A80" s="26" t="s">
        <v>105</v>
      </c>
      <c r="B80" s="28">
        <v>932327655</v>
      </c>
      <c r="C80" s="27">
        <v>-1272825583</v>
      </c>
    </row>
    <row r="81" spans="1:3" x14ac:dyDescent="0.25">
      <c r="A81" s="26" t="s">
        <v>71</v>
      </c>
    </row>
    <row r="82" spans="1:3" x14ac:dyDescent="0.25">
      <c r="A82" s="25" t="s">
        <v>95</v>
      </c>
      <c r="B82" s="28">
        <v>-2205109816</v>
      </c>
      <c r="C82" s="27">
        <v>-473866042</v>
      </c>
    </row>
    <row r="83" spans="1:3" x14ac:dyDescent="0.25">
      <c r="A83" s="25" t="s">
        <v>73</v>
      </c>
      <c r="B83" s="28">
        <v>2158500</v>
      </c>
      <c r="C83" s="27">
        <v>2641480</v>
      </c>
    </row>
    <row r="84" spans="1:3" x14ac:dyDescent="0.25">
      <c r="A84" s="25" t="s">
        <v>74</v>
      </c>
      <c r="B84" s="28">
        <v>23108723</v>
      </c>
      <c r="C84" s="27">
        <v>18812847</v>
      </c>
    </row>
    <row r="85" spans="1:3" x14ac:dyDescent="0.25">
      <c r="A85" s="26" t="s">
        <v>106</v>
      </c>
      <c r="B85" s="28">
        <v>-2179842593</v>
      </c>
      <c r="C85" s="27">
        <v>-452411715</v>
      </c>
    </row>
    <row r="86" spans="1:3" x14ac:dyDescent="0.25">
      <c r="A86" s="26" t="s">
        <v>76</v>
      </c>
    </row>
    <row r="87" spans="1:3" x14ac:dyDescent="0.25">
      <c r="A87" s="25" t="s">
        <v>96</v>
      </c>
      <c r="B87" s="28">
        <v>-31712571</v>
      </c>
      <c r="C87" s="27">
        <v>-407495915</v>
      </c>
    </row>
    <row r="88" spans="1:3" x14ac:dyDescent="0.25">
      <c r="A88" s="25" t="s">
        <v>97</v>
      </c>
      <c r="B88" s="28">
        <v>829000000</v>
      </c>
      <c r="C88" s="25" t="s">
        <v>19</v>
      </c>
    </row>
    <row r="89" spans="1:3" x14ac:dyDescent="0.25">
      <c r="A89" s="25" t="s">
        <v>107</v>
      </c>
      <c r="B89" s="28">
        <v>-436535304</v>
      </c>
      <c r="C89" s="27">
        <v>3787500501</v>
      </c>
    </row>
    <row r="90" spans="1:3" x14ac:dyDescent="0.25">
      <c r="A90" s="25" t="s">
        <v>108</v>
      </c>
      <c r="B90" s="28">
        <v>-37082301</v>
      </c>
      <c r="C90" s="27">
        <v>-345213069</v>
      </c>
    </row>
    <row r="91" spans="1:3" x14ac:dyDescent="0.25">
      <c r="A91" s="25" t="s">
        <v>79</v>
      </c>
      <c r="B91" s="29" t="s">
        <v>19</v>
      </c>
      <c r="C91" s="27">
        <v>1257998250</v>
      </c>
    </row>
    <row r="92" spans="1:3" x14ac:dyDescent="0.25">
      <c r="A92" s="25" t="s">
        <v>109</v>
      </c>
      <c r="B92" s="29" t="s">
        <v>19</v>
      </c>
      <c r="C92" s="27">
        <v>-12340105</v>
      </c>
    </row>
    <row r="93" spans="1:3" x14ac:dyDescent="0.25">
      <c r="A93" s="25" t="s">
        <v>110</v>
      </c>
      <c r="B93" s="28">
        <v>-163784311</v>
      </c>
      <c r="C93" s="27">
        <v>-613166100</v>
      </c>
    </row>
    <row r="94" spans="1:3" x14ac:dyDescent="0.25">
      <c r="A94" s="26" t="s">
        <v>111</v>
      </c>
      <c r="B94" s="28">
        <v>159885513</v>
      </c>
      <c r="C94" s="27">
        <v>3667283563</v>
      </c>
    </row>
    <row r="95" spans="1:3" x14ac:dyDescent="0.25">
      <c r="A95" s="26" t="s">
        <v>112</v>
      </c>
      <c r="B95" s="28">
        <v>-1087629425</v>
      </c>
      <c r="C95" s="27">
        <v>1942046265</v>
      </c>
    </row>
    <row r="96" spans="1:3" x14ac:dyDescent="0.25">
      <c r="A96" s="26" t="s">
        <v>86</v>
      </c>
      <c r="B96" s="28">
        <v>2338800897</v>
      </c>
      <c r="C96" s="27">
        <v>396754632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topLeftCell="A37" workbookViewId="0">
      <selection activeCell="M7" sqref="M7"/>
    </sheetView>
  </sheetViews>
  <sheetFormatPr defaultRowHeight="13.2" x14ac:dyDescent="0.25"/>
  <cols>
    <col min="1" max="1" width="35.44140625" bestFit="1" customWidth="1"/>
    <col min="2" max="2" width="19" bestFit="1" customWidth="1"/>
    <col min="3" max="3" width="14.44140625" bestFit="1" customWidth="1"/>
    <col min="4" max="4" width="12.109375" bestFit="1" customWidth="1"/>
    <col min="5" max="5" width="14.44140625" bestFit="1" customWidth="1"/>
    <col min="6" max="6" width="12.109375" bestFit="1" customWidth="1"/>
    <col min="7" max="7" width="14.44140625" bestFit="1" customWidth="1"/>
    <col min="8" max="8" width="11.109375" customWidth="1"/>
    <col min="9" max="9" width="14.44140625" bestFit="1" customWidth="1"/>
    <col min="10" max="10" width="12.5546875" bestFit="1" customWidth="1"/>
    <col min="11" max="11" width="14.44140625" bestFit="1" customWidth="1"/>
    <col min="12" max="12" width="12.109375" bestFit="1" customWidth="1"/>
    <col min="13" max="13" width="14.44140625" bestFit="1" customWidth="1"/>
    <col min="14" max="14" width="11.88671875" customWidth="1"/>
  </cols>
  <sheetData>
    <row r="1" spans="1:14" ht="33.75" customHeight="1" x14ac:dyDescent="0.55000000000000004">
      <c r="A1" s="37" t="s">
        <v>113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33.75" customHeight="1" x14ac:dyDescent="0.55000000000000004">
      <c r="A2" s="37" t="s">
        <v>114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9">
        <v>2021</v>
      </c>
      <c r="C4" s="40" t="s">
        <v>115</v>
      </c>
      <c r="D4" s="39">
        <v>2020</v>
      </c>
      <c r="E4" s="40" t="s">
        <v>116</v>
      </c>
      <c r="F4" s="39">
        <v>2019</v>
      </c>
      <c r="G4" s="40" t="s">
        <v>117</v>
      </c>
      <c r="H4" s="39">
        <v>2018</v>
      </c>
      <c r="I4" s="40" t="s">
        <v>118</v>
      </c>
      <c r="J4" s="39">
        <v>2017</v>
      </c>
      <c r="K4" s="40" t="s">
        <v>119</v>
      </c>
      <c r="L4" s="39">
        <v>2016</v>
      </c>
      <c r="M4" s="40" t="s">
        <v>120</v>
      </c>
      <c r="N4" s="39">
        <v>2015</v>
      </c>
    </row>
    <row r="5" spans="1:14" x14ac:dyDescent="0.25">
      <c r="A5" s="41"/>
      <c r="B5" s="40" t="s">
        <v>121</v>
      </c>
      <c r="C5" s="40" t="s">
        <v>122</v>
      </c>
      <c r="D5" s="40" t="s">
        <v>121</v>
      </c>
      <c r="E5" s="38"/>
      <c r="F5" s="40" t="s">
        <v>123</v>
      </c>
      <c r="G5" s="40" t="s">
        <v>122</v>
      </c>
      <c r="H5" s="40" t="s">
        <v>121</v>
      </c>
      <c r="I5" s="38"/>
      <c r="J5" s="40" t="s">
        <v>123</v>
      </c>
      <c r="K5" s="38"/>
      <c r="L5" s="40" t="s">
        <v>123</v>
      </c>
      <c r="M5" s="40" t="s">
        <v>124</v>
      </c>
      <c r="N5" s="38"/>
    </row>
    <row r="6" spans="1:14" x14ac:dyDescent="0.25">
      <c r="A6" s="42" t="s">
        <v>125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 x14ac:dyDescent="0.25">
      <c r="A7" s="43" t="s">
        <v>126</v>
      </c>
      <c r="B7" s="44">
        <v>16504860</v>
      </c>
      <c r="C7" s="45">
        <v>102.33</v>
      </c>
      <c r="D7" s="44">
        <v>8157574</v>
      </c>
      <c r="E7" s="45">
        <v>8.7100000000000009</v>
      </c>
      <c r="F7" s="44">
        <v>7503934</v>
      </c>
      <c r="G7" s="45">
        <v>0.5</v>
      </c>
      <c r="H7" s="44">
        <v>7466333</v>
      </c>
      <c r="I7" s="45">
        <v>12.49</v>
      </c>
      <c r="J7" s="44">
        <v>6637098</v>
      </c>
      <c r="K7" s="45">
        <v>56.7</v>
      </c>
      <c r="L7" s="44">
        <v>4235430</v>
      </c>
      <c r="M7" s="45">
        <v>24.39</v>
      </c>
      <c r="N7" s="44">
        <v>3404959</v>
      </c>
    </row>
    <row r="8" spans="1:14" x14ac:dyDescent="0.25">
      <c r="A8" s="43" t="s">
        <v>127</v>
      </c>
      <c r="B8" s="44">
        <v>6404989</v>
      </c>
      <c r="C8" s="45">
        <v>86.22</v>
      </c>
      <c r="D8" s="44">
        <v>3439460</v>
      </c>
      <c r="E8" s="45">
        <v>-9.0399999999999991</v>
      </c>
      <c r="F8" s="44">
        <v>3781257</v>
      </c>
      <c r="G8" s="45">
        <v>136.33000000000001</v>
      </c>
      <c r="H8" s="44">
        <v>1599956</v>
      </c>
      <c r="I8" s="45">
        <v>148.81</v>
      </c>
      <c r="J8" s="44">
        <v>643053</v>
      </c>
      <c r="K8" s="45">
        <v>-61.8</v>
      </c>
      <c r="L8" s="44">
        <v>1683226</v>
      </c>
      <c r="M8" s="45">
        <v>34.61</v>
      </c>
      <c r="N8" s="44">
        <v>1250475</v>
      </c>
    </row>
    <row r="9" spans="1:14" x14ac:dyDescent="0.25">
      <c r="A9" s="43" t="s">
        <v>128</v>
      </c>
      <c r="B9" s="44">
        <v>18889958</v>
      </c>
      <c r="C9" s="46" t="s">
        <v>129</v>
      </c>
      <c r="D9" s="38"/>
      <c r="E9" s="45">
        <v>23.36</v>
      </c>
      <c r="F9" s="44">
        <v>11355819</v>
      </c>
      <c r="G9" s="45">
        <v>35.049999999999997</v>
      </c>
      <c r="H9" s="44">
        <v>8408467</v>
      </c>
      <c r="I9" s="45">
        <v>-3.83</v>
      </c>
      <c r="J9" s="44">
        <v>8743576</v>
      </c>
      <c r="K9" s="45">
        <v>49.17</v>
      </c>
      <c r="L9" s="44">
        <v>5861637</v>
      </c>
      <c r="M9" s="45">
        <v>-13.95</v>
      </c>
      <c r="N9" s="44">
        <v>6811927</v>
      </c>
    </row>
    <row r="10" spans="1:14" x14ac:dyDescent="0.25">
      <c r="A10" s="47" t="s">
        <v>130</v>
      </c>
      <c r="B10" s="48">
        <v>41799806</v>
      </c>
      <c r="C10" s="49" t="s">
        <v>131</v>
      </c>
      <c r="D10" s="38"/>
      <c r="E10" s="49" t="s">
        <v>132</v>
      </c>
      <c r="F10" s="38"/>
      <c r="G10" s="49" t="s">
        <v>133</v>
      </c>
      <c r="H10" s="38"/>
      <c r="I10" s="38"/>
      <c r="J10" s="49" t="s">
        <v>134</v>
      </c>
      <c r="K10" s="49" t="s">
        <v>135</v>
      </c>
      <c r="L10" s="38"/>
      <c r="M10" s="49" t="s">
        <v>136</v>
      </c>
      <c r="N10" s="38"/>
    </row>
    <row r="11" spans="1:14" x14ac:dyDescent="0.25">
      <c r="A11" s="43" t="s">
        <v>137</v>
      </c>
      <c r="B11" s="44">
        <v>15859024</v>
      </c>
      <c r="C11" s="45">
        <v>59.13</v>
      </c>
      <c r="D11" s="44">
        <v>9965806</v>
      </c>
      <c r="E11" s="45">
        <v>15.51</v>
      </c>
      <c r="F11" s="44">
        <v>8627828</v>
      </c>
      <c r="G11" s="45">
        <v>35.99</v>
      </c>
      <c r="H11" s="44">
        <v>6344432</v>
      </c>
      <c r="I11" s="45">
        <v>48.42</v>
      </c>
      <c r="J11" s="44">
        <v>4274764</v>
      </c>
      <c r="K11" s="45">
        <v>8.82</v>
      </c>
      <c r="L11" s="44">
        <v>3928430</v>
      </c>
      <c r="M11" s="45">
        <v>17.12</v>
      </c>
      <c r="N11" s="44">
        <v>3354165</v>
      </c>
    </row>
    <row r="12" spans="1:14" x14ac:dyDescent="0.25">
      <c r="A12" s="43" t="s">
        <v>138</v>
      </c>
      <c r="B12" s="44">
        <v>25940782</v>
      </c>
      <c r="C12" s="46" t="s">
        <v>139</v>
      </c>
      <c r="D12" s="38"/>
      <c r="E12" s="45">
        <v>11.61</v>
      </c>
      <c r="F12" s="44">
        <v>14013181</v>
      </c>
      <c r="G12" s="46" t="s">
        <v>140</v>
      </c>
      <c r="H12" s="38"/>
      <c r="I12" s="45">
        <v>-5.27</v>
      </c>
      <c r="J12" s="44">
        <v>11748963</v>
      </c>
      <c r="K12" s="45">
        <v>49.63</v>
      </c>
      <c r="L12" s="44">
        <v>7851863</v>
      </c>
      <c r="M12" s="45">
        <v>-3.22</v>
      </c>
      <c r="N12" s="44">
        <v>8113195</v>
      </c>
    </row>
    <row r="13" spans="1:14" x14ac:dyDescent="0.25">
      <c r="A13" s="47" t="s">
        <v>141</v>
      </c>
      <c r="B13" s="48">
        <v>41799806</v>
      </c>
      <c r="C13" s="49" t="s">
        <v>142</v>
      </c>
      <c r="D13" s="38"/>
      <c r="E13" s="49" t="s">
        <v>132</v>
      </c>
      <c r="F13" s="38"/>
      <c r="G13" s="49" t="s">
        <v>133</v>
      </c>
      <c r="H13" s="38"/>
      <c r="I13" s="38"/>
      <c r="J13" s="49" t="s">
        <v>134</v>
      </c>
      <c r="K13" s="49" t="s">
        <v>135</v>
      </c>
      <c r="L13" s="38"/>
      <c r="M13" s="49" t="s">
        <v>136</v>
      </c>
      <c r="N13" s="38"/>
    </row>
    <row r="14" spans="1:14" x14ac:dyDescent="0.25">
      <c r="A14" s="42" t="s">
        <v>143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5">
      <c r="A15" s="43" t="s">
        <v>144</v>
      </c>
      <c r="B15" s="44">
        <v>44971836</v>
      </c>
      <c r="C15" s="46" t="s">
        <v>145</v>
      </c>
      <c r="D15" s="38"/>
      <c r="E15" s="45">
        <v>-11.43</v>
      </c>
      <c r="F15" s="44">
        <v>30828089</v>
      </c>
      <c r="G15" s="46" t="s">
        <v>146</v>
      </c>
      <c r="H15" s="38"/>
      <c r="I15" s="46" t="s">
        <v>147</v>
      </c>
      <c r="J15" s="38"/>
      <c r="K15" s="45">
        <v>-0.95</v>
      </c>
      <c r="L15" s="44">
        <v>18983479</v>
      </c>
      <c r="M15" s="46" t="s">
        <v>148</v>
      </c>
      <c r="N15" s="38"/>
    </row>
    <row r="16" spans="1:14" x14ac:dyDescent="0.25">
      <c r="A16" s="43" t="s">
        <v>149</v>
      </c>
      <c r="B16" s="44">
        <v>38280468</v>
      </c>
      <c r="C16" s="46" t="s">
        <v>150</v>
      </c>
      <c r="D16" s="38"/>
      <c r="E16" s="45">
        <v>-10.68</v>
      </c>
      <c r="F16" s="44">
        <v>27639095</v>
      </c>
      <c r="G16" s="46" t="s">
        <v>151</v>
      </c>
      <c r="H16" s="38"/>
      <c r="I16" s="46" t="s">
        <v>152</v>
      </c>
      <c r="J16" s="38"/>
      <c r="K16" s="45">
        <v>-0.52</v>
      </c>
      <c r="L16" s="44">
        <v>16924658</v>
      </c>
      <c r="M16" s="46" t="s">
        <v>153</v>
      </c>
      <c r="N16" s="38"/>
    </row>
    <row r="17" spans="1:14" x14ac:dyDescent="0.25">
      <c r="A17" s="47" t="s">
        <v>154</v>
      </c>
      <c r="B17" s="48">
        <v>6691368</v>
      </c>
      <c r="C17" s="50">
        <v>155.63999999999999</v>
      </c>
      <c r="D17" s="48">
        <v>2617449</v>
      </c>
      <c r="E17" s="50">
        <v>-17.920000000000002</v>
      </c>
      <c r="F17" s="48">
        <v>3188994</v>
      </c>
      <c r="G17" s="50">
        <v>14.12</v>
      </c>
      <c r="H17" s="48">
        <v>2794412</v>
      </c>
      <c r="I17" s="50">
        <v>42.18</v>
      </c>
      <c r="J17" s="48">
        <v>1965447</v>
      </c>
      <c r="K17" s="50">
        <v>-4.54</v>
      </c>
      <c r="L17" s="48">
        <v>2058821</v>
      </c>
      <c r="M17" s="49" t="s">
        <v>155</v>
      </c>
      <c r="N17" s="38"/>
    </row>
    <row r="18" spans="1:14" x14ac:dyDescent="0.25">
      <c r="A18" s="43" t="s">
        <v>156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x14ac:dyDescent="0.25">
      <c r="A19" s="43" t="s">
        <v>44</v>
      </c>
      <c r="B19" s="44">
        <v>254310</v>
      </c>
      <c r="C19" s="45">
        <v>76.739999999999995</v>
      </c>
      <c r="D19" s="44">
        <v>143886</v>
      </c>
      <c r="E19" s="45">
        <v>-28.63</v>
      </c>
      <c r="F19" s="44">
        <v>201592</v>
      </c>
      <c r="G19" s="45">
        <v>-18.16</v>
      </c>
      <c r="H19" s="44">
        <v>246333</v>
      </c>
      <c r="I19" s="45">
        <v>50.16</v>
      </c>
      <c r="J19" s="44">
        <v>164049</v>
      </c>
      <c r="K19" s="45">
        <v>73.19</v>
      </c>
      <c r="L19" s="44">
        <v>94723</v>
      </c>
      <c r="M19" s="45">
        <v>53.16</v>
      </c>
      <c r="N19" s="44">
        <v>61847</v>
      </c>
    </row>
    <row r="20" spans="1:14" x14ac:dyDescent="0.25">
      <c r="A20" s="43" t="s">
        <v>45</v>
      </c>
      <c r="B20" s="44">
        <v>537896</v>
      </c>
      <c r="C20" s="45">
        <v>32.15</v>
      </c>
      <c r="D20" s="44">
        <v>407032</v>
      </c>
      <c r="E20" s="45">
        <v>10.95</v>
      </c>
      <c r="F20" s="44">
        <v>366852</v>
      </c>
      <c r="G20" s="45">
        <v>17.239999999999998</v>
      </c>
      <c r="H20" s="44">
        <v>312901</v>
      </c>
      <c r="I20" s="45">
        <v>18.04</v>
      </c>
      <c r="J20" s="44">
        <v>265075</v>
      </c>
      <c r="K20" s="45">
        <v>27.74</v>
      </c>
      <c r="L20" s="44">
        <v>207515</v>
      </c>
      <c r="M20" s="45">
        <v>29.44</v>
      </c>
      <c r="N20" s="44">
        <v>160323</v>
      </c>
    </row>
    <row r="21" spans="1:14" x14ac:dyDescent="0.25">
      <c r="A21" s="43" t="s">
        <v>46</v>
      </c>
      <c r="B21" s="44">
        <v>379246</v>
      </c>
      <c r="C21" s="45">
        <v>609.54</v>
      </c>
      <c r="D21" s="44">
        <v>53450</v>
      </c>
      <c r="E21" s="45">
        <v>-56.72</v>
      </c>
      <c r="F21" s="44">
        <v>123487</v>
      </c>
      <c r="G21" s="45">
        <v>8.6199999999999992</v>
      </c>
      <c r="H21" s="44">
        <v>113690</v>
      </c>
      <c r="I21" s="45">
        <v>24.32</v>
      </c>
      <c r="J21" s="44">
        <v>91451</v>
      </c>
      <c r="K21" s="45">
        <v>5.53</v>
      </c>
      <c r="L21" s="44">
        <v>86658</v>
      </c>
      <c r="M21" s="45">
        <v>91.77</v>
      </c>
      <c r="N21" s="44">
        <v>45188</v>
      </c>
    </row>
    <row r="22" spans="1:14" x14ac:dyDescent="0.25">
      <c r="A22" s="43" t="s">
        <v>47</v>
      </c>
      <c r="B22" s="44">
        <v>54959</v>
      </c>
      <c r="C22" s="51">
        <v>1537.37</v>
      </c>
      <c r="D22" s="44">
        <v>3357</v>
      </c>
      <c r="E22" s="45">
        <v>1.4</v>
      </c>
      <c r="F22" s="44">
        <v>3310</v>
      </c>
      <c r="G22" s="45">
        <v>98.95</v>
      </c>
      <c r="H22" s="44">
        <v>1664</v>
      </c>
      <c r="I22" s="45">
        <v>100</v>
      </c>
      <c r="J22" s="46" t="s">
        <v>19</v>
      </c>
      <c r="K22" s="46" t="s">
        <v>19</v>
      </c>
      <c r="L22" s="46" t="s">
        <v>19</v>
      </c>
      <c r="M22" s="46" t="s">
        <v>19</v>
      </c>
      <c r="N22" s="46" t="s">
        <v>19</v>
      </c>
    </row>
    <row r="23" spans="1:14" x14ac:dyDescent="0.25">
      <c r="A23" s="43" t="s">
        <v>157</v>
      </c>
      <c r="B23" s="44">
        <v>-66825</v>
      </c>
      <c r="C23" s="45">
        <v>13.67</v>
      </c>
      <c r="D23" s="44">
        <v>-58788</v>
      </c>
      <c r="E23" s="45">
        <v>95.97</v>
      </c>
      <c r="F23" s="44">
        <v>-29999</v>
      </c>
      <c r="G23" s="45">
        <v>-17.5</v>
      </c>
      <c r="H23" s="44">
        <v>-36364</v>
      </c>
      <c r="I23" s="45">
        <v>7.03</v>
      </c>
      <c r="J23" s="44">
        <v>-33977</v>
      </c>
      <c r="K23" s="45">
        <v>-28.25</v>
      </c>
      <c r="L23" s="44">
        <v>-47357</v>
      </c>
      <c r="M23" s="45">
        <v>220.5</v>
      </c>
      <c r="N23" s="44">
        <v>-14776</v>
      </c>
    </row>
    <row r="24" spans="1:14" x14ac:dyDescent="0.25">
      <c r="A24" s="41"/>
      <c r="B24" s="44">
        <v>1159586</v>
      </c>
      <c r="C24" s="45">
        <v>111.24</v>
      </c>
      <c r="D24" s="44">
        <v>548936</v>
      </c>
      <c r="E24" s="45">
        <v>-17.48</v>
      </c>
      <c r="F24" s="44">
        <v>665242</v>
      </c>
      <c r="G24" s="45">
        <v>4.2300000000000004</v>
      </c>
      <c r="H24" s="44">
        <v>638223</v>
      </c>
      <c r="I24" s="45">
        <v>31.16</v>
      </c>
      <c r="J24" s="44">
        <v>486598</v>
      </c>
      <c r="K24" s="45">
        <v>42.47</v>
      </c>
      <c r="L24" s="44">
        <v>341540</v>
      </c>
      <c r="M24" s="45">
        <v>35.22</v>
      </c>
      <c r="N24" s="44">
        <v>252581</v>
      </c>
    </row>
    <row r="25" spans="1:14" x14ac:dyDescent="0.25">
      <c r="A25" s="47" t="s">
        <v>158</v>
      </c>
      <c r="B25" s="38"/>
      <c r="C25" s="50">
        <v>167.43</v>
      </c>
      <c r="D25" s="48">
        <v>2068513</v>
      </c>
      <c r="E25" s="50">
        <v>-18.04</v>
      </c>
      <c r="F25" s="48">
        <v>2523752</v>
      </c>
      <c r="G25" s="50">
        <v>17.05</v>
      </c>
      <c r="H25" s="48">
        <v>2156188</v>
      </c>
      <c r="I25" s="50">
        <v>45.8</v>
      </c>
      <c r="J25" s="48">
        <v>1478849</v>
      </c>
      <c r="K25" s="50">
        <v>-13.88</v>
      </c>
      <c r="L25" s="48">
        <v>1717281</v>
      </c>
      <c r="M25" s="49" t="s">
        <v>159</v>
      </c>
      <c r="N25" s="38"/>
    </row>
    <row r="26" spans="1:14" x14ac:dyDescent="0.25">
      <c r="A26" s="43" t="s">
        <v>160</v>
      </c>
      <c r="B26" s="44">
        <v>1370294</v>
      </c>
      <c r="C26" s="45">
        <v>-9.5399999999999991</v>
      </c>
      <c r="D26" s="44">
        <v>1514786</v>
      </c>
      <c r="E26" s="45">
        <v>92.64</v>
      </c>
      <c r="F26" s="44">
        <v>786328</v>
      </c>
      <c r="G26" s="45">
        <v>42.33</v>
      </c>
      <c r="H26" s="44">
        <v>552460</v>
      </c>
      <c r="I26" s="45">
        <v>115.34</v>
      </c>
      <c r="J26" s="44">
        <v>256551</v>
      </c>
      <c r="K26" s="45">
        <v>-39.64</v>
      </c>
      <c r="L26" s="44">
        <v>425033</v>
      </c>
      <c r="M26" s="45">
        <v>-3.33</v>
      </c>
      <c r="N26" s="44">
        <v>439678</v>
      </c>
    </row>
    <row r="27" spans="1:14" x14ac:dyDescent="0.25">
      <c r="A27" s="47" t="s">
        <v>161</v>
      </c>
      <c r="B27" s="48">
        <v>4161488</v>
      </c>
      <c r="C27" s="50">
        <v>651.54</v>
      </c>
      <c r="D27" s="48">
        <v>553727</v>
      </c>
      <c r="E27" s="50">
        <v>-68.13</v>
      </c>
      <c r="F27" s="48">
        <v>1737423</v>
      </c>
      <c r="G27" s="50">
        <v>8.34</v>
      </c>
      <c r="H27" s="48">
        <v>1603728</v>
      </c>
      <c r="I27" s="50">
        <v>31.21</v>
      </c>
      <c r="J27" s="48">
        <v>1222298</v>
      </c>
      <c r="K27" s="50">
        <v>-5.41</v>
      </c>
      <c r="L27" s="48">
        <v>1292248</v>
      </c>
      <c r="M27" s="50">
        <v>103.79</v>
      </c>
      <c r="N27" s="48">
        <v>634096</v>
      </c>
    </row>
    <row r="28" spans="1:14" x14ac:dyDescent="0.25">
      <c r="A28" s="43" t="s">
        <v>162</v>
      </c>
      <c r="B28" s="44">
        <v>732338</v>
      </c>
      <c r="C28" s="51">
        <v>-1970.83</v>
      </c>
      <c r="D28" s="44">
        <v>-39145</v>
      </c>
      <c r="E28" s="45">
        <v>-110.74</v>
      </c>
      <c r="F28" s="44">
        <v>364492</v>
      </c>
      <c r="G28" s="45">
        <v>16.260000000000002</v>
      </c>
      <c r="H28" s="44">
        <v>313513</v>
      </c>
      <c r="I28" s="45">
        <v>35.4</v>
      </c>
      <c r="J28" s="44">
        <v>231538</v>
      </c>
      <c r="K28" s="45">
        <v>-41.95</v>
      </c>
      <c r="L28" s="44">
        <v>398836</v>
      </c>
      <c r="M28" s="51">
        <v>-1690.87</v>
      </c>
      <c r="N28" s="44">
        <v>-25070</v>
      </c>
    </row>
    <row r="29" spans="1:14" x14ac:dyDescent="0.25">
      <c r="A29" s="47" t="s">
        <v>163</v>
      </c>
      <c r="B29" s="48">
        <v>3429150</v>
      </c>
      <c r="C29" s="50">
        <v>478.4</v>
      </c>
      <c r="D29" s="48">
        <v>592872</v>
      </c>
      <c r="E29" s="50">
        <v>-56.82</v>
      </c>
      <c r="F29" s="48">
        <v>1372931</v>
      </c>
      <c r="G29" s="50">
        <v>6.41</v>
      </c>
      <c r="H29" s="48">
        <v>1290215</v>
      </c>
      <c r="I29" s="50">
        <v>30.22</v>
      </c>
      <c r="J29" s="48">
        <v>990760</v>
      </c>
      <c r="K29" s="50">
        <v>10.9</v>
      </c>
      <c r="L29" s="48">
        <v>893412</v>
      </c>
      <c r="M29" s="50">
        <v>35.54</v>
      </c>
      <c r="N29" s="48">
        <v>659166</v>
      </c>
    </row>
    <row r="31" spans="1:14" x14ac:dyDescent="0.25">
      <c r="A31" s="52"/>
    </row>
    <row r="32" spans="1:14" ht="15" x14ac:dyDescent="0.25">
      <c r="A32" s="10"/>
      <c r="B32" s="53"/>
    </row>
    <row r="34" spans="1:14" ht="33.6" x14ac:dyDescent="0.55000000000000004">
      <c r="A34" s="54" t="s">
        <v>164</v>
      </c>
    </row>
    <row r="35" spans="1:14" ht="33.6" x14ac:dyDescent="0.55000000000000004">
      <c r="A35" s="54" t="s">
        <v>114</v>
      </c>
    </row>
    <row r="37" spans="1:14" x14ac:dyDescent="0.25">
      <c r="B37" s="39">
        <v>2021</v>
      </c>
      <c r="C37" s="38"/>
      <c r="D37" s="39">
        <v>2020</v>
      </c>
      <c r="E37" s="38"/>
      <c r="F37" s="39">
        <v>2019</v>
      </c>
      <c r="G37" s="38"/>
      <c r="H37" s="39">
        <v>2018</v>
      </c>
      <c r="I37" s="38"/>
      <c r="J37" s="39">
        <v>2017</v>
      </c>
      <c r="K37" s="38"/>
      <c r="L37" s="39">
        <v>2016</v>
      </c>
      <c r="M37" s="38"/>
      <c r="N37" s="39">
        <v>2015</v>
      </c>
    </row>
    <row r="38" spans="1:14" x14ac:dyDescent="0.25">
      <c r="B38" s="40" t="s">
        <v>121</v>
      </c>
      <c r="C38" s="38"/>
      <c r="D38" s="40" t="s">
        <v>123</v>
      </c>
      <c r="E38" s="38"/>
      <c r="F38" s="40" t="s">
        <v>123</v>
      </c>
      <c r="G38" s="40" t="s">
        <v>122</v>
      </c>
      <c r="H38" s="40" t="s">
        <v>121</v>
      </c>
      <c r="I38" s="38"/>
      <c r="J38" s="40" t="s">
        <v>123</v>
      </c>
      <c r="K38" s="38"/>
      <c r="L38" s="40" t="s">
        <v>123</v>
      </c>
      <c r="M38" s="40" t="s">
        <v>124</v>
      </c>
      <c r="N38" s="38"/>
    </row>
    <row r="39" spans="1:14" x14ac:dyDescent="0.25">
      <c r="A39" s="19" t="s">
        <v>125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25">
      <c r="A40" s="52" t="s">
        <v>126</v>
      </c>
      <c r="B40" s="44">
        <v>16504860</v>
      </c>
      <c r="C40" s="45">
        <v>39.49</v>
      </c>
      <c r="D40" s="44">
        <v>8157574</v>
      </c>
      <c r="E40" s="45">
        <v>31.86</v>
      </c>
      <c r="F40" s="44">
        <v>7503934</v>
      </c>
      <c r="G40" s="45">
        <v>33.14</v>
      </c>
      <c r="H40" s="44">
        <v>7466333</v>
      </c>
      <c r="I40" s="45">
        <v>42.73</v>
      </c>
      <c r="J40" s="44">
        <v>6637098</v>
      </c>
      <c r="K40" s="45">
        <v>41.42</v>
      </c>
      <c r="L40" s="44">
        <v>4235430</v>
      </c>
      <c r="M40" s="45">
        <v>35.950000000000003</v>
      </c>
      <c r="N40" s="44">
        <v>3404959</v>
      </c>
    </row>
    <row r="41" spans="1:14" x14ac:dyDescent="0.25">
      <c r="A41" s="52" t="s">
        <v>127</v>
      </c>
      <c r="B41" s="44">
        <v>6404989</v>
      </c>
      <c r="C41" s="45">
        <v>15.32</v>
      </c>
      <c r="D41" s="44">
        <v>3439460</v>
      </c>
      <c r="E41" s="45">
        <v>13.43</v>
      </c>
      <c r="F41" s="44">
        <v>3781257</v>
      </c>
      <c r="G41" s="45">
        <v>16.7</v>
      </c>
      <c r="H41" s="44">
        <v>1599956</v>
      </c>
      <c r="I41" s="45">
        <v>9.16</v>
      </c>
      <c r="J41" s="44">
        <v>643053</v>
      </c>
      <c r="K41" s="45">
        <v>4.01</v>
      </c>
      <c r="L41" s="44">
        <v>1683226</v>
      </c>
      <c r="M41" s="45">
        <v>14.29</v>
      </c>
      <c r="N41" s="44">
        <v>1250475</v>
      </c>
    </row>
    <row r="42" spans="1:14" x14ac:dyDescent="0.25">
      <c r="A42" s="52" t="s">
        <v>128</v>
      </c>
      <c r="B42" s="44">
        <v>18889958</v>
      </c>
      <c r="C42" s="46" t="s">
        <v>165</v>
      </c>
      <c r="D42" s="38"/>
      <c r="E42" s="45">
        <v>54.71</v>
      </c>
      <c r="F42" s="44">
        <v>11355819</v>
      </c>
      <c r="G42" s="45">
        <v>50.16</v>
      </c>
      <c r="H42" s="44">
        <v>8408467</v>
      </c>
      <c r="I42" s="45">
        <v>48.12</v>
      </c>
      <c r="J42" s="44">
        <v>8743576</v>
      </c>
      <c r="K42" s="45">
        <v>54.57</v>
      </c>
      <c r="L42" s="44">
        <v>5861637</v>
      </c>
      <c r="M42" s="45">
        <v>49.76</v>
      </c>
      <c r="N42" s="44">
        <v>6811927</v>
      </c>
    </row>
    <row r="43" spans="1:14" x14ac:dyDescent="0.25">
      <c r="A43" s="2" t="s">
        <v>130</v>
      </c>
      <c r="B43" s="48">
        <v>41799806</v>
      </c>
      <c r="C43" s="49" t="s">
        <v>166</v>
      </c>
      <c r="D43" s="38"/>
      <c r="E43" s="49" t="s">
        <v>167</v>
      </c>
      <c r="F43" s="38"/>
      <c r="G43" s="49" t="s">
        <v>168</v>
      </c>
      <c r="H43" s="38"/>
      <c r="I43" s="49" t="s">
        <v>169</v>
      </c>
      <c r="J43" s="38"/>
      <c r="K43" s="49" t="s">
        <v>170</v>
      </c>
      <c r="L43" s="38"/>
      <c r="M43" s="49" t="s">
        <v>171</v>
      </c>
      <c r="N43" s="38"/>
    </row>
    <row r="44" spans="1:14" x14ac:dyDescent="0.25">
      <c r="A44" s="52" t="s">
        <v>137</v>
      </c>
      <c r="B44" s="44">
        <v>15859024</v>
      </c>
      <c r="C44" s="45">
        <v>37.94</v>
      </c>
      <c r="D44" s="44">
        <v>9965806</v>
      </c>
      <c r="E44" s="45">
        <v>38.92</v>
      </c>
      <c r="F44" s="44">
        <v>8627828</v>
      </c>
      <c r="G44" s="45">
        <v>38.11</v>
      </c>
      <c r="H44" s="44">
        <v>6344432</v>
      </c>
      <c r="I44" s="45">
        <v>36.31</v>
      </c>
      <c r="J44" s="44">
        <v>4274764</v>
      </c>
      <c r="K44" s="45">
        <v>26.68</v>
      </c>
      <c r="L44" s="44">
        <v>3928430</v>
      </c>
      <c r="M44" s="45">
        <v>33.35</v>
      </c>
      <c r="N44" s="44">
        <v>3354165</v>
      </c>
    </row>
    <row r="45" spans="1:14" x14ac:dyDescent="0.25">
      <c r="A45" s="52" t="s">
        <v>138</v>
      </c>
      <c r="B45" s="44">
        <v>25940782</v>
      </c>
      <c r="C45" s="46" t="s">
        <v>172</v>
      </c>
      <c r="D45" s="38"/>
      <c r="E45" s="45">
        <v>61.08</v>
      </c>
      <c r="F45" s="44">
        <v>14013181</v>
      </c>
      <c r="G45" s="46" t="s">
        <v>173</v>
      </c>
      <c r="H45" s="38"/>
      <c r="I45" s="46" t="s">
        <v>174</v>
      </c>
      <c r="J45" s="38"/>
      <c r="K45" s="45">
        <v>73.319999999999993</v>
      </c>
      <c r="L45" s="44">
        <v>7851863</v>
      </c>
      <c r="M45" s="45">
        <v>66.650000000000006</v>
      </c>
      <c r="N45" s="44">
        <v>8113195</v>
      </c>
    </row>
    <row r="46" spans="1:14" x14ac:dyDescent="0.25">
      <c r="A46" s="2" t="s">
        <v>141</v>
      </c>
      <c r="B46" s="48">
        <v>41799806</v>
      </c>
      <c r="C46" s="49" t="s">
        <v>166</v>
      </c>
      <c r="D46" s="38"/>
      <c r="E46" s="49" t="s">
        <v>167</v>
      </c>
      <c r="F46" s="38"/>
      <c r="G46" s="49" t="s">
        <v>168</v>
      </c>
      <c r="H46" s="38"/>
      <c r="I46" s="49" t="s">
        <v>169</v>
      </c>
      <c r="J46" s="38"/>
      <c r="K46" s="49" t="s">
        <v>170</v>
      </c>
      <c r="L46" s="38"/>
      <c r="M46" s="49" t="s">
        <v>171</v>
      </c>
      <c r="N46" s="38"/>
    </row>
    <row r="47" spans="1:14" x14ac:dyDescent="0.25">
      <c r="A47" s="19" t="s">
        <v>143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 x14ac:dyDescent="0.25">
      <c r="A48" s="52" t="s">
        <v>144</v>
      </c>
      <c r="B48" s="44">
        <v>44971836</v>
      </c>
      <c r="C48" s="46" t="s">
        <v>175</v>
      </c>
      <c r="D48" s="38"/>
      <c r="E48" s="45">
        <v>100</v>
      </c>
      <c r="F48" s="44">
        <v>30828089</v>
      </c>
      <c r="G48" s="46" t="s">
        <v>176</v>
      </c>
      <c r="H48" s="38"/>
      <c r="I48" s="46" t="s">
        <v>177</v>
      </c>
      <c r="J48" s="38"/>
      <c r="K48" s="46" t="s">
        <v>178</v>
      </c>
      <c r="L48" s="38"/>
      <c r="M48" s="46" t="s">
        <v>179</v>
      </c>
      <c r="N48" s="38"/>
    </row>
    <row r="49" spans="1:14" x14ac:dyDescent="0.25">
      <c r="A49" s="52" t="s">
        <v>149</v>
      </c>
      <c r="B49" s="44">
        <v>38280468</v>
      </c>
      <c r="C49" s="46" t="s">
        <v>180</v>
      </c>
      <c r="D49" s="38"/>
      <c r="E49" s="45">
        <v>90.41</v>
      </c>
      <c r="F49" s="44">
        <v>27639095</v>
      </c>
      <c r="G49" s="46" t="s">
        <v>181</v>
      </c>
      <c r="H49" s="38"/>
      <c r="I49" s="46" t="s">
        <v>182</v>
      </c>
      <c r="J49" s="38"/>
      <c r="K49" s="46" t="s">
        <v>183</v>
      </c>
      <c r="L49" s="38"/>
      <c r="M49" s="46" t="s">
        <v>184</v>
      </c>
      <c r="N49" s="38"/>
    </row>
    <row r="50" spans="1:14" x14ac:dyDescent="0.25">
      <c r="A50" s="2" t="s">
        <v>154</v>
      </c>
      <c r="B50" s="48">
        <v>6691368</v>
      </c>
      <c r="C50" s="50">
        <v>14.88</v>
      </c>
      <c r="D50" s="48">
        <v>2617449</v>
      </c>
      <c r="E50" s="50">
        <v>9.59</v>
      </c>
      <c r="F50" s="48">
        <v>3188994</v>
      </c>
      <c r="G50" s="50">
        <v>10.34</v>
      </c>
      <c r="H50" s="48">
        <v>2794412</v>
      </c>
      <c r="I50" s="50">
        <v>12.57</v>
      </c>
      <c r="J50" s="48">
        <v>1965447</v>
      </c>
      <c r="K50" s="50">
        <v>10.45</v>
      </c>
      <c r="L50" s="48">
        <v>2058821</v>
      </c>
      <c r="M50" s="49" t="s">
        <v>185</v>
      </c>
      <c r="N50" s="38"/>
    </row>
    <row r="51" spans="1:14" x14ac:dyDescent="0.25">
      <c r="A51" s="52" t="s">
        <v>44</v>
      </c>
      <c r="B51" s="44">
        <v>254310</v>
      </c>
      <c r="C51" s="45">
        <v>0.56999999999999995</v>
      </c>
      <c r="D51" s="44">
        <v>143886</v>
      </c>
      <c r="E51" s="45">
        <v>0.53</v>
      </c>
      <c r="F51" s="44">
        <v>201592</v>
      </c>
      <c r="G51" s="45">
        <v>0.65</v>
      </c>
      <c r="H51" s="44">
        <v>246333</v>
      </c>
      <c r="I51" s="45">
        <v>1.1100000000000001</v>
      </c>
      <c r="J51" s="44">
        <v>164049</v>
      </c>
      <c r="K51" s="45">
        <v>0.87</v>
      </c>
      <c r="L51" s="44">
        <v>94723</v>
      </c>
      <c r="M51" s="45">
        <v>0.5</v>
      </c>
      <c r="N51" s="44">
        <v>61847</v>
      </c>
    </row>
    <row r="52" spans="1:14" x14ac:dyDescent="0.25">
      <c r="A52" s="52" t="s">
        <v>45</v>
      </c>
      <c r="B52" s="44">
        <v>537896</v>
      </c>
      <c r="C52" s="45">
        <v>1.2</v>
      </c>
      <c r="D52" s="44">
        <v>407032</v>
      </c>
      <c r="E52" s="45">
        <v>1.49</v>
      </c>
      <c r="F52" s="44">
        <v>366852</v>
      </c>
      <c r="G52" s="45">
        <v>1.19</v>
      </c>
      <c r="H52" s="44">
        <v>312901</v>
      </c>
      <c r="I52" s="45">
        <v>1.41</v>
      </c>
      <c r="J52" s="44">
        <v>265075</v>
      </c>
      <c r="K52" s="45">
        <v>1.41</v>
      </c>
      <c r="L52" s="44">
        <v>207515</v>
      </c>
      <c r="M52" s="45">
        <v>1.0900000000000001</v>
      </c>
      <c r="N52" s="44">
        <v>160323</v>
      </c>
    </row>
    <row r="53" spans="1:14" x14ac:dyDescent="0.25">
      <c r="A53" s="52" t="s">
        <v>46</v>
      </c>
      <c r="B53" s="44">
        <v>379246</v>
      </c>
      <c r="C53" s="45">
        <v>0.84</v>
      </c>
      <c r="D53" s="44">
        <v>53450</v>
      </c>
      <c r="E53" s="45">
        <v>0.2</v>
      </c>
      <c r="F53" s="44">
        <v>123487</v>
      </c>
      <c r="G53" s="45">
        <v>0.4</v>
      </c>
      <c r="H53" s="44">
        <v>113690</v>
      </c>
      <c r="I53" s="45">
        <v>0.51</v>
      </c>
      <c r="J53" s="44">
        <v>91451</v>
      </c>
      <c r="K53" s="45">
        <v>0.49</v>
      </c>
      <c r="L53" s="44">
        <v>86658</v>
      </c>
      <c r="M53" s="45">
        <v>0.46</v>
      </c>
      <c r="N53" s="44">
        <v>45188</v>
      </c>
    </row>
    <row r="54" spans="1:14" x14ac:dyDescent="0.25">
      <c r="A54" s="52" t="s">
        <v>47</v>
      </c>
      <c r="B54" s="44">
        <v>54959</v>
      </c>
      <c r="C54" s="45">
        <v>0.12</v>
      </c>
      <c r="D54" s="44">
        <v>3357</v>
      </c>
      <c r="E54" s="45">
        <v>0.01</v>
      </c>
      <c r="F54" s="44">
        <v>3310</v>
      </c>
      <c r="G54" s="45">
        <v>0.1</v>
      </c>
      <c r="H54" s="44">
        <v>1664</v>
      </c>
      <c r="I54" s="45">
        <v>0.01</v>
      </c>
      <c r="J54" s="46" t="s">
        <v>19</v>
      </c>
      <c r="K54" s="46" t="s">
        <v>19</v>
      </c>
      <c r="L54" s="46" t="s">
        <v>19</v>
      </c>
      <c r="M54" s="46" t="s">
        <v>19</v>
      </c>
      <c r="N54" s="46" t="s">
        <v>19</v>
      </c>
    </row>
    <row r="55" spans="1:14" x14ac:dyDescent="0.25">
      <c r="A55" s="52" t="s">
        <v>157</v>
      </c>
      <c r="B55" s="44">
        <v>-66825</v>
      </c>
      <c r="C55" s="45">
        <v>-0.15</v>
      </c>
      <c r="D55" s="44">
        <v>-58788</v>
      </c>
      <c r="E55" s="45">
        <v>-0.22</v>
      </c>
      <c r="F55" s="44">
        <v>-29999</v>
      </c>
      <c r="G55" s="45">
        <v>-0.1</v>
      </c>
      <c r="H55" s="44">
        <v>-36364</v>
      </c>
      <c r="I55" s="45">
        <v>-0.16</v>
      </c>
      <c r="J55" s="44">
        <v>-33977</v>
      </c>
      <c r="K55" s="45">
        <v>-0.18</v>
      </c>
      <c r="L55" s="44">
        <v>-47357</v>
      </c>
      <c r="M55" s="45">
        <v>-0.25</v>
      </c>
      <c r="N55" s="44">
        <v>-14776</v>
      </c>
    </row>
    <row r="56" spans="1:14" x14ac:dyDescent="0.25">
      <c r="B56" s="44">
        <v>1159586</v>
      </c>
      <c r="C56" s="45">
        <v>2.58</v>
      </c>
      <c r="D56" s="44">
        <v>548936</v>
      </c>
      <c r="E56" s="45">
        <v>2.0099999999999998</v>
      </c>
      <c r="F56" s="44">
        <v>665242</v>
      </c>
      <c r="G56" s="45">
        <v>2.16</v>
      </c>
      <c r="H56" s="44">
        <v>638223</v>
      </c>
      <c r="I56" s="45">
        <v>2.87</v>
      </c>
      <c r="J56" s="44">
        <v>486598</v>
      </c>
      <c r="K56" s="45">
        <v>2.59</v>
      </c>
      <c r="L56" s="44">
        <v>341540</v>
      </c>
      <c r="M56" s="45">
        <v>1.8</v>
      </c>
      <c r="N56" s="44">
        <v>252581</v>
      </c>
    </row>
    <row r="57" spans="1:14" x14ac:dyDescent="0.25">
      <c r="A57" s="2" t="s">
        <v>158</v>
      </c>
      <c r="B57" s="38"/>
      <c r="C57" s="50">
        <v>12.3</v>
      </c>
      <c r="D57" s="48">
        <v>2068513</v>
      </c>
      <c r="E57" s="50">
        <v>7.58</v>
      </c>
      <c r="F57" s="48">
        <v>2523752</v>
      </c>
      <c r="G57" s="50">
        <v>8.19</v>
      </c>
      <c r="H57" s="48">
        <v>2156188</v>
      </c>
      <c r="I57" s="50">
        <v>9.6999999999999993</v>
      </c>
      <c r="J57" s="48">
        <v>1478849</v>
      </c>
      <c r="K57" s="50">
        <v>7.87</v>
      </c>
      <c r="L57" s="48">
        <v>1717281</v>
      </c>
      <c r="M57" s="49" t="s">
        <v>186</v>
      </c>
      <c r="N57" s="38"/>
    </row>
    <row r="58" spans="1:14" x14ac:dyDescent="0.25">
      <c r="A58" s="52" t="s">
        <v>160</v>
      </c>
      <c r="B58" s="44">
        <v>1370294</v>
      </c>
      <c r="C58" s="45">
        <v>3.05</v>
      </c>
      <c r="D58" s="44">
        <v>1514786</v>
      </c>
      <c r="E58" s="45">
        <v>5.55</v>
      </c>
      <c r="F58" s="44">
        <v>786328</v>
      </c>
      <c r="G58" s="45">
        <v>2.5499999999999998</v>
      </c>
      <c r="H58" s="44">
        <v>552460</v>
      </c>
      <c r="I58" s="45">
        <v>2.4900000000000002</v>
      </c>
      <c r="J58" s="44">
        <v>256551</v>
      </c>
      <c r="K58" s="45">
        <v>1.36</v>
      </c>
      <c r="L58" s="44">
        <v>425033</v>
      </c>
      <c r="M58" s="45">
        <v>2.2400000000000002</v>
      </c>
      <c r="N58" s="44">
        <v>439678</v>
      </c>
    </row>
    <row r="59" spans="1:14" x14ac:dyDescent="0.25">
      <c r="A59" s="2" t="s">
        <v>161</v>
      </c>
      <c r="B59" s="48">
        <v>4161488</v>
      </c>
      <c r="C59" s="50">
        <v>9.25</v>
      </c>
      <c r="D59" s="48">
        <v>553727</v>
      </c>
      <c r="E59" s="50">
        <v>2.0299999999999998</v>
      </c>
      <c r="F59" s="48">
        <v>1737423</v>
      </c>
      <c r="G59" s="50">
        <v>5.64</v>
      </c>
      <c r="H59" s="48">
        <v>1603728</v>
      </c>
      <c r="I59" s="50">
        <v>7.22</v>
      </c>
      <c r="J59" s="48">
        <v>1222298</v>
      </c>
      <c r="K59" s="50">
        <v>6.5</v>
      </c>
      <c r="L59" s="48">
        <v>1292248</v>
      </c>
      <c r="M59" s="50">
        <v>6.81</v>
      </c>
      <c r="N59" s="48">
        <v>634096</v>
      </c>
    </row>
    <row r="60" spans="1:14" x14ac:dyDescent="0.25">
      <c r="A60" s="52" t="s">
        <v>162</v>
      </c>
      <c r="B60" s="44">
        <v>732338</v>
      </c>
      <c r="C60" s="45">
        <v>1.63</v>
      </c>
      <c r="D60" s="44">
        <v>-39145</v>
      </c>
      <c r="E60" s="45">
        <v>-0.14000000000000001</v>
      </c>
      <c r="F60" s="44">
        <v>364492</v>
      </c>
      <c r="G60" s="45">
        <v>1.18</v>
      </c>
      <c r="H60" s="44">
        <v>313513</v>
      </c>
      <c r="I60" s="45">
        <v>1.41</v>
      </c>
      <c r="J60" s="44">
        <v>231538</v>
      </c>
      <c r="K60" s="45">
        <v>1.23</v>
      </c>
      <c r="L60" s="44">
        <v>398836</v>
      </c>
      <c r="M60" s="45">
        <v>2.1</v>
      </c>
      <c r="N60" s="44">
        <v>-25070</v>
      </c>
    </row>
    <row r="61" spans="1:14" x14ac:dyDescent="0.25">
      <c r="A61" s="2" t="s">
        <v>163</v>
      </c>
      <c r="B61" s="48">
        <v>3429150</v>
      </c>
      <c r="C61" s="50">
        <v>7.62</v>
      </c>
      <c r="D61" s="48">
        <v>592872</v>
      </c>
      <c r="E61" s="50">
        <v>2.17</v>
      </c>
      <c r="F61" s="48">
        <v>1372931</v>
      </c>
      <c r="G61" s="50">
        <v>4.45</v>
      </c>
      <c r="H61" s="48">
        <v>1290215</v>
      </c>
      <c r="I61" s="50">
        <v>5.81</v>
      </c>
      <c r="J61" s="48">
        <v>990760</v>
      </c>
      <c r="K61" s="50">
        <v>5.27</v>
      </c>
      <c r="L61" s="48">
        <v>893412</v>
      </c>
      <c r="M61" s="50">
        <v>4.71</v>
      </c>
      <c r="N61" s="48">
        <v>659166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C149-83BC-4FE1-81A2-5519E7DAB4DB}">
  <dimension ref="A1:J57"/>
  <sheetViews>
    <sheetView zoomScale="79" zoomScaleNormal="79" workbookViewId="0">
      <selection activeCell="D2" sqref="D1:D1048576"/>
    </sheetView>
  </sheetViews>
  <sheetFormatPr defaultRowHeight="13.2" x14ac:dyDescent="0.25"/>
  <cols>
    <col min="1" max="1" width="51.6640625" bestFit="1" customWidth="1"/>
    <col min="2" max="2" width="13.77734375" hidden="1" customWidth="1"/>
    <col min="3" max="3" width="13.77734375" style="127" customWidth="1"/>
    <col min="4" max="4" width="13.77734375" hidden="1" customWidth="1"/>
    <col min="5" max="5" width="13.77734375" style="127" customWidth="1"/>
    <col min="6" max="6" width="13.77734375" hidden="1" customWidth="1"/>
    <col min="7" max="7" width="13.77734375" style="127" customWidth="1"/>
    <col min="8" max="8" width="13.77734375" hidden="1" customWidth="1"/>
    <col min="9" max="9" width="13.77734375" style="127" customWidth="1"/>
    <col min="10" max="10" width="13.77734375" hidden="1" customWidth="1"/>
  </cols>
  <sheetData>
    <row r="1" spans="1:10" ht="43.8" customHeight="1" x14ac:dyDescent="0.4">
      <c r="A1" s="190" t="s">
        <v>196</v>
      </c>
      <c r="B1" s="190"/>
      <c r="C1" s="190"/>
      <c r="D1" s="190"/>
      <c r="E1" s="190"/>
      <c r="F1" s="190"/>
      <c r="G1" s="190"/>
      <c r="H1" s="190"/>
      <c r="I1" s="190"/>
    </row>
    <row r="2" spans="1:10" ht="13.2" customHeight="1" x14ac:dyDescent="0.25">
      <c r="A2" s="69"/>
      <c r="B2" s="70">
        <v>2021</v>
      </c>
      <c r="C2" s="130" t="s">
        <v>193</v>
      </c>
      <c r="D2" s="70">
        <v>2020</v>
      </c>
      <c r="E2" s="130" t="s">
        <v>194</v>
      </c>
      <c r="F2" s="70">
        <v>2019</v>
      </c>
      <c r="G2" s="130" t="s">
        <v>195</v>
      </c>
      <c r="H2" s="70">
        <v>2018</v>
      </c>
      <c r="I2" s="130" t="s">
        <v>198</v>
      </c>
      <c r="J2" s="70">
        <v>2017</v>
      </c>
    </row>
    <row r="3" spans="1:10" ht="13.2" customHeight="1" x14ac:dyDescent="0.25">
      <c r="A3" s="71" t="s">
        <v>1</v>
      </c>
      <c r="B3" s="72"/>
      <c r="C3" s="139"/>
      <c r="D3" s="72"/>
      <c r="E3" s="139"/>
      <c r="F3" s="72"/>
      <c r="G3" s="139"/>
      <c r="H3" s="72"/>
      <c r="I3" s="139"/>
      <c r="J3" s="72"/>
    </row>
    <row r="4" spans="1:10" x14ac:dyDescent="0.25">
      <c r="A4" s="71" t="s">
        <v>2</v>
      </c>
      <c r="B4" s="56"/>
      <c r="C4" s="114"/>
      <c r="D4" s="56"/>
      <c r="E4" s="114"/>
      <c r="F4" s="56"/>
      <c r="G4" s="114"/>
      <c r="H4" s="56"/>
      <c r="I4" s="114"/>
      <c r="J4" s="56"/>
    </row>
    <row r="5" spans="1:10" x14ac:dyDescent="0.25">
      <c r="A5" s="72" t="s">
        <v>3</v>
      </c>
      <c r="B5" s="60">
        <v>15799442920</v>
      </c>
      <c r="C5" s="114">
        <f>(B5-D5)/D5</f>
        <v>0.59300467897407461</v>
      </c>
      <c r="D5" s="60">
        <v>9918014133</v>
      </c>
      <c r="E5" s="114">
        <f>(D5-F5)/F5</f>
        <v>0.15536508519592276</v>
      </c>
      <c r="F5" s="60">
        <v>8584311799</v>
      </c>
      <c r="G5" s="114">
        <f>(F5-H5)/H5</f>
        <v>0.36156297048498087</v>
      </c>
      <c r="H5" s="60">
        <v>6304748282</v>
      </c>
      <c r="I5" s="114">
        <f>(H5-J5)/J5</f>
        <v>0.48316806022326747</v>
      </c>
      <c r="J5" s="60">
        <v>4250865732</v>
      </c>
    </row>
    <row r="6" spans="1:10" x14ac:dyDescent="0.25">
      <c r="A6" s="72" t="s">
        <v>4</v>
      </c>
      <c r="B6" s="60">
        <v>3608274</v>
      </c>
      <c r="C6" s="114">
        <f t="shared" ref="C6:C57" si="0">(B6-D6)/D6</f>
        <v>-0.4444447694859518</v>
      </c>
      <c r="D6" s="60">
        <v>6494897</v>
      </c>
      <c r="E6" s="114">
        <f t="shared" ref="E6:E57" si="1">(D6-F6)/F6</f>
        <v>-0.30769246348139745</v>
      </c>
      <c r="F6" s="60">
        <v>9381520</v>
      </c>
      <c r="G6" s="114">
        <f>(F6-H6)/H6</f>
        <v>-0.23529420874862642</v>
      </c>
      <c r="H6" s="60">
        <v>12268143</v>
      </c>
      <c r="I6" s="114"/>
      <c r="J6" s="72" t="s">
        <v>19</v>
      </c>
    </row>
    <row r="7" spans="1:10" x14ac:dyDescent="0.25">
      <c r="A7" s="72" t="s">
        <v>5</v>
      </c>
      <c r="B7" s="60">
        <v>36127968</v>
      </c>
      <c r="C7" s="114">
        <f t="shared" si="0"/>
        <v>0.67636020524851359</v>
      </c>
      <c r="D7" s="60">
        <v>21551435</v>
      </c>
      <c r="E7" s="114">
        <f t="shared" si="1"/>
        <v>0.69639849848424484</v>
      </c>
      <c r="F7" s="60">
        <v>12704229</v>
      </c>
      <c r="G7" s="114">
        <f>(F7-H7)/H7</f>
        <v>0.93347866629511589</v>
      </c>
      <c r="H7" s="60">
        <v>6570659</v>
      </c>
      <c r="I7" s="114">
        <f t="shared" ref="I7:I57" si="2">(H7-J7)/J7</f>
        <v>0.16498608717051663</v>
      </c>
      <c r="J7" s="60">
        <v>5640118</v>
      </c>
    </row>
    <row r="8" spans="1:10" x14ac:dyDescent="0.25">
      <c r="A8" s="72" t="s">
        <v>6</v>
      </c>
      <c r="B8" s="60">
        <v>19845317</v>
      </c>
      <c r="C8" s="114">
        <f t="shared" si="0"/>
        <v>5.0644920008121423E-3</v>
      </c>
      <c r="D8" s="60">
        <v>19745317</v>
      </c>
      <c r="E8" s="114">
        <f t="shared" si="1"/>
        <v>-7.8626928383747199E-2</v>
      </c>
      <c r="F8" s="60">
        <v>21430317</v>
      </c>
      <c r="G8" s="114">
        <f>(F8-H8)/H8</f>
        <v>2.8063857220305164E-2</v>
      </c>
      <c r="H8" s="60">
        <v>20845317</v>
      </c>
      <c r="I8" s="114">
        <f t="shared" si="2"/>
        <v>0.14168910347850866</v>
      </c>
      <c r="J8" s="60">
        <v>18258313</v>
      </c>
    </row>
    <row r="9" spans="1:10" x14ac:dyDescent="0.25">
      <c r="A9" s="72"/>
      <c r="B9" s="60"/>
      <c r="C9" s="114"/>
      <c r="D9" s="60"/>
      <c r="E9" s="114"/>
      <c r="F9" s="60"/>
      <c r="G9" s="114"/>
      <c r="H9" s="60"/>
      <c r="I9" s="114"/>
      <c r="J9" s="60"/>
    </row>
    <row r="10" spans="1:10" x14ac:dyDescent="0.25">
      <c r="A10" s="62" t="s">
        <v>192</v>
      </c>
      <c r="B10" s="62">
        <v>15859024479</v>
      </c>
      <c r="C10" s="121">
        <f t="shared" si="0"/>
        <v>0.59134392400504043</v>
      </c>
      <c r="D10" s="62">
        <v>9965805782</v>
      </c>
      <c r="E10" s="121">
        <f t="shared" si="1"/>
        <v>0.15507702957631966</v>
      </c>
      <c r="F10" s="62">
        <v>8627827865</v>
      </c>
      <c r="G10" s="121">
        <f>(F10-H10)/H10</f>
        <v>0.35990539731183746</v>
      </c>
      <c r="H10" s="62">
        <v>6344432401</v>
      </c>
      <c r="I10" s="121">
        <f t="shared" si="2"/>
        <v>0.48415963058591777</v>
      </c>
      <c r="J10" s="62">
        <v>4274764163</v>
      </c>
    </row>
    <row r="11" spans="1:10" x14ac:dyDescent="0.25">
      <c r="A11" s="57"/>
      <c r="B11" s="75"/>
      <c r="C11" s="114"/>
      <c r="D11" s="75"/>
      <c r="E11" s="114"/>
      <c r="F11" s="75"/>
      <c r="G11" s="114"/>
      <c r="H11" s="75"/>
      <c r="I11" s="114"/>
      <c r="J11" s="60"/>
    </row>
    <row r="12" spans="1:10" x14ac:dyDescent="0.25">
      <c r="A12" s="71" t="s">
        <v>7</v>
      </c>
      <c r="B12" s="56"/>
      <c r="C12" s="114"/>
      <c r="D12" s="56"/>
      <c r="E12" s="114"/>
      <c r="F12" s="56"/>
      <c r="G12" s="114"/>
      <c r="H12" s="56"/>
      <c r="I12" s="114"/>
      <c r="J12" s="56"/>
    </row>
    <row r="13" spans="1:10" x14ac:dyDescent="0.25">
      <c r="A13" s="72" t="s">
        <v>8</v>
      </c>
      <c r="B13" s="77">
        <v>14867878271</v>
      </c>
      <c r="C13" s="114">
        <f t="shared" si="0"/>
        <v>0.83096906431444606</v>
      </c>
      <c r="D13" s="78">
        <v>8120223635</v>
      </c>
      <c r="E13" s="114">
        <f t="shared" si="1"/>
        <v>0.44479447895009516</v>
      </c>
      <c r="F13" s="78">
        <v>5620331302</v>
      </c>
      <c r="G13" s="114">
        <f t="shared" ref="G13:G18" si="3">(F13-H13)/H13</f>
        <v>-5.0125230318610374E-2</v>
      </c>
      <c r="H13" s="79">
        <v>5916918189</v>
      </c>
      <c r="I13" s="114">
        <f t="shared" si="2"/>
        <v>9.943063249259039E-2</v>
      </c>
      <c r="J13" s="77">
        <v>5381802193</v>
      </c>
    </row>
    <row r="14" spans="1:10" x14ac:dyDescent="0.25">
      <c r="A14" s="72" t="s">
        <v>9</v>
      </c>
      <c r="B14" s="80">
        <v>5259128868</v>
      </c>
      <c r="C14" s="114">
        <f t="shared" si="0"/>
        <v>1.4102284973165782</v>
      </c>
      <c r="D14" s="75">
        <v>2182004268</v>
      </c>
      <c r="E14" s="114">
        <f t="shared" si="1"/>
        <v>-0.3395877547637326</v>
      </c>
      <c r="F14" s="75">
        <v>3304003346</v>
      </c>
      <c r="G14" s="114">
        <f t="shared" si="3"/>
        <v>1.6154169350414984</v>
      </c>
      <c r="H14" s="81">
        <v>1263279786</v>
      </c>
      <c r="I14" s="114">
        <f t="shared" si="2"/>
        <v>-6.218005972931432E-2</v>
      </c>
      <c r="J14" s="80">
        <v>1347038735</v>
      </c>
    </row>
    <row r="15" spans="1:10" x14ac:dyDescent="0.25">
      <c r="A15" s="72" t="s">
        <v>10</v>
      </c>
      <c r="B15" s="80">
        <v>135593891</v>
      </c>
      <c r="C15" s="114">
        <f t="shared" si="0"/>
        <v>-0.51608737229136348</v>
      </c>
      <c r="D15" s="75">
        <v>280203250</v>
      </c>
      <c r="E15" s="114">
        <f t="shared" si="1"/>
        <v>-0.2506048480784101</v>
      </c>
      <c r="F15" s="75">
        <v>373905875</v>
      </c>
      <c r="G15" s="114">
        <f t="shared" si="3"/>
        <v>-4.5759970218951376E-6</v>
      </c>
      <c r="H15" s="81">
        <v>373907586</v>
      </c>
      <c r="I15" s="114">
        <f t="shared" si="2"/>
        <v>0.29038233163049687</v>
      </c>
      <c r="J15" s="80">
        <v>289764961</v>
      </c>
    </row>
    <row r="16" spans="1:10" x14ac:dyDescent="0.25">
      <c r="A16" s="72" t="s">
        <v>11</v>
      </c>
      <c r="B16" s="80">
        <v>932103249</v>
      </c>
      <c r="C16" s="114">
        <f t="shared" si="0"/>
        <v>15.98826641788296</v>
      </c>
      <c r="D16" s="75">
        <v>54867473</v>
      </c>
      <c r="E16" s="114">
        <f t="shared" si="1"/>
        <v>3.6059945597833085E-2</v>
      </c>
      <c r="F16" s="75">
        <v>52957817</v>
      </c>
      <c r="G16" s="114">
        <f t="shared" si="3"/>
        <v>0.96539015326407196</v>
      </c>
      <c r="H16" s="81">
        <v>26945193</v>
      </c>
      <c r="I16" s="114">
        <f t="shared" si="2"/>
        <v>-0.5341268927936923</v>
      </c>
      <c r="J16" s="80">
        <v>57838052</v>
      </c>
    </row>
    <row r="17" spans="1:10" x14ac:dyDescent="0.25">
      <c r="A17" s="72" t="s">
        <v>12</v>
      </c>
      <c r="B17" s="80">
        <v>2529148380</v>
      </c>
      <c r="C17" s="114">
        <f t="shared" si="0"/>
        <v>-3.695992642668415E-2</v>
      </c>
      <c r="D17" s="75">
        <v>2626213020</v>
      </c>
      <c r="E17" s="114">
        <f t="shared" si="1"/>
        <v>0.79848892465748611</v>
      </c>
      <c r="F17" s="75">
        <v>1460233079</v>
      </c>
      <c r="G17" s="114">
        <f t="shared" si="3"/>
        <v>-0.36459167304641354</v>
      </c>
      <c r="H17" s="81">
        <v>2298101893</v>
      </c>
      <c r="I17" s="114">
        <f t="shared" si="2"/>
        <v>0.22835175950410147</v>
      </c>
      <c r="J17" s="80">
        <v>1870882567</v>
      </c>
    </row>
    <row r="18" spans="1:10" x14ac:dyDescent="0.25">
      <c r="A18" s="72" t="s">
        <v>13</v>
      </c>
      <c r="B18" s="82">
        <v>2216929138</v>
      </c>
      <c r="C18" s="114">
        <f t="shared" si="0"/>
        <v>-6.7259164098234084E-2</v>
      </c>
      <c r="D18" s="83">
        <v>2376790050</v>
      </c>
      <c r="E18" s="114">
        <f t="shared" si="1"/>
        <v>-0.25765904252087057</v>
      </c>
      <c r="F18" s="83">
        <v>3201749851</v>
      </c>
      <c r="G18" s="114">
        <f t="shared" si="3"/>
        <v>1.5590016417829577</v>
      </c>
      <c r="H18" s="84">
        <v>1251171472</v>
      </c>
      <c r="I18" s="114">
        <f t="shared" si="2"/>
        <v>-0.46505803830415865</v>
      </c>
      <c r="J18" s="82">
        <v>2338891995</v>
      </c>
    </row>
    <row r="19" spans="1:10" x14ac:dyDescent="0.25">
      <c r="A19" s="72"/>
      <c r="B19" s="75"/>
      <c r="C19" s="114"/>
      <c r="D19" s="75"/>
      <c r="E19" s="114"/>
      <c r="F19" s="75"/>
      <c r="G19" s="114"/>
      <c r="H19" s="75"/>
      <c r="I19" s="114"/>
      <c r="J19" s="75"/>
    </row>
    <row r="20" spans="1:10" x14ac:dyDescent="0.25">
      <c r="A20" s="63" t="s">
        <v>138</v>
      </c>
      <c r="B20" s="63">
        <v>25940781797</v>
      </c>
      <c r="C20" s="122">
        <f t="shared" si="0"/>
        <v>0.65858576779464195</v>
      </c>
      <c r="D20" s="63">
        <v>15640301696</v>
      </c>
      <c r="E20" s="122">
        <f t="shared" si="1"/>
        <v>0.11611356441120239</v>
      </c>
      <c r="F20" s="63">
        <v>14013181270</v>
      </c>
      <c r="G20" s="122">
        <f>(F20-H20)/H20</f>
        <v>0.2590092723426467</v>
      </c>
      <c r="H20" s="63">
        <v>11130324119</v>
      </c>
      <c r="I20" s="122">
        <f t="shared" si="2"/>
        <v>-5.265472750413587E-2</v>
      </c>
      <c r="J20" s="63">
        <v>11748962540</v>
      </c>
    </row>
    <row r="21" spans="1:10" x14ac:dyDescent="0.25">
      <c r="A21" s="58"/>
      <c r="B21" s="58"/>
      <c r="C21" s="123"/>
      <c r="D21" s="58"/>
      <c r="E21" s="123"/>
      <c r="F21" s="58"/>
      <c r="G21" s="123"/>
      <c r="H21" s="58"/>
      <c r="I21" s="123"/>
      <c r="J21" s="58"/>
    </row>
    <row r="22" spans="1:10" x14ac:dyDescent="0.25">
      <c r="A22" s="65" t="s">
        <v>191</v>
      </c>
      <c r="B22" s="65">
        <v>41799806276</v>
      </c>
      <c r="C22" s="124">
        <f t="shared" si="0"/>
        <v>0.6324154818108586</v>
      </c>
      <c r="D22" s="65">
        <v>25606107478</v>
      </c>
      <c r="E22" s="124">
        <f t="shared" si="1"/>
        <v>0.13096140394273995</v>
      </c>
      <c r="F22" s="65">
        <v>22641009135</v>
      </c>
      <c r="G22" s="124">
        <f>(F22-H22)/H22</f>
        <v>0.29564089256907139</v>
      </c>
      <c r="H22" s="65">
        <v>17474756520</v>
      </c>
      <c r="I22" s="124">
        <f t="shared" si="2"/>
        <v>9.0555077722857993E-2</v>
      </c>
      <c r="J22" s="65">
        <v>16023726703</v>
      </c>
    </row>
    <row r="23" spans="1:10" x14ac:dyDescent="0.25">
      <c r="A23" s="59"/>
      <c r="B23" s="75"/>
      <c r="C23" s="114"/>
      <c r="D23" s="75"/>
      <c r="E23" s="114"/>
      <c r="F23" s="75"/>
      <c r="G23" s="114"/>
      <c r="H23" s="75"/>
      <c r="I23" s="114"/>
      <c r="J23" s="60"/>
    </row>
    <row r="24" spans="1:10" x14ac:dyDescent="0.25">
      <c r="A24" s="71" t="s">
        <v>14</v>
      </c>
      <c r="B24" s="56"/>
      <c r="C24" s="114"/>
      <c r="D24" s="56"/>
      <c r="E24" s="114"/>
      <c r="F24" s="56"/>
      <c r="G24" s="114"/>
      <c r="H24" s="56"/>
      <c r="I24" s="114"/>
      <c r="J24" s="56"/>
    </row>
    <row r="25" spans="1:10" x14ac:dyDescent="0.25">
      <c r="A25" s="71" t="s">
        <v>15</v>
      </c>
      <c r="B25" s="56"/>
      <c r="C25" s="114"/>
      <c r="D25" s="56"/>
      <c r="E25" s="114"/>
      <c r="F25" s="56"/>
      <c r="G25" s="114"/>
      <c r="H25" s="56"/>
      <c r="I25" s="114"/>
      <c r="J25" s="56"/>
    </row>
    <row r="26" spans="1:10" x14ac:dyDescent="0.25">
      <c r="A26" s="72" t="s">
        <v>16</v>
      </c>
      <c r="B26" s="60">
        <v>5000000000</v>
      </c>
      <c r="C26" s="114">
        <f t="shared" si="0"/>
        <v>0.66666666666666663</v>
      </c>
      <c r="D26" s="60">
        <v>3000000000</v>
      </c>
      <c r="E26" s="114">
        <f t="shared" si="1"/>
        <v>0</v>
      </c>
      <c r="F26" s="60">
        <v>3000000000</v>
      </c>
      <c r="G26" s="114">
        <f>(F26-H26)/H26</f>
        <v>0</v>
      </c>
      <c r="H26" s="60">
        <v>3000000000</v>
      </c>
      <c r="I26" s="114">
        <f t="shared" si="2"/>
        <v>0</v>
      </c>
      <c r="J26" s="60">
        <v>3000000000</v>
      </c>
    </row>
    <row r="27" spans="1:10" x14ac:dyDescent="0.25">
      <c r="A27" s="72" t="s">
        <v>17</v>
      </c>
      <c r="B27" s="60">
        <v>2918555940</v>
      </c>
      <c r="C27" s="114">
        <f t="shared" si="0"/>
        <v>0.16</v>
      </c>
      <c r="D27" s="60">
        <v>2515996500</v>
      </c>
      <c r="E27" s="114">
        <f t="shared" si="1"/>
        <v>0</v>
      </c>
      <c r="F27" s="60">
        <v>2515996500</v>
      </c>
      <c r="G27" s="114">
        <f>(F27-H27)/H27</f>
        <v>0</v>
      </c>
      <c r="H27" s="60">
        <v>2515996500</v>
      </c>
      <c r="I27" s="114">
        <f t="shared" si="2"/>
        <v>0</v>
      </c>
      <c r="J27" s="60">
        <v>2515996500</v>
      </c>
    </row>
    <row r="28" spans="1:10" x14ac:dyDescent="0.25">
      <c r="A28" s="72" t="s">
        <v>18</v>
      </c>
      <c r="B28" s="60">
        <v>7144980314</v>
      </c>
      <c r="C28" s="114">
        <f t="shared" si="0"/>
        <v>4.0337555162644589</v>
      </c>
      <c r="D28" s="60">
        <v>1419413456</v>
      </c>
      <c r="E28" s="114">
        <f t="shared" si="1"/>
        <v>-0.70564441758064722</v>
      </c>
      <c r="F28" s="60">
        <v>4822104763</v>
      </c>
      <c r="G28" s="114">
        <f>(F28-H28)/H28</f>
        <v>0.19765191742819577</v>
      </c>
      <c r="H28" s="60">
        <v>4026299038</v>
      </c>
      <c r="I28" s="114">
        <f t="shared" si="2"/>
        <v>0.3897857437122984</v>
      </c>
      <c r="J28" s="60">
        <v>2897064570</v>
      </c>
    </row>
    <row r="29" spans="1:10" x14ac:dyDescent="0.25">
      <c r="A29" s="72" t="s">
        <v>20</v>
      </c>
      <c r="B29" s="72" t="s">
        <v>19</v>
      </c>
      <c r="C29" s="114"/>
      <c r="D29" s="60">
        <v>500000000</v>
      </c>
      <c r="E29" s="114">
        <f t="shared" si="1"/>
        <v>2.0150896553793527</v>
      </c>
      <c r="F29" s="60">
        <v>165832548</v>
      </c>
      <c r="G29" s="114">
        <f>(F29-H29)/H29</f>
        <v>-0.82053477397978003</v>
      </c>
      <c r="H29" s="60">
        <v>924037217</v>
      </c>
      <c r="I29" s="114">
        <f t="shared" si="2"/>
        <v>-0.24509058698008526</v>
      </c>
      <c r="J29" s="60">
        <v>1224037217</v>
      </c>
    </row>
    <row r="30" spans="1:10" x14ac:dyDescent="0.25">
      <c r="A30" s="72"/>
      <c r="B30" s="72"/>
      <c r="C30" s="114"/>
      <c r="D30" s="60"/>
      <c r="E30" s="114"/>
      <c r="F30" s="60"/>
      <c r="G30" s="114"/>
      <c r="H30" s="60"/>
      <c r="I30" s="114"/>
      <c r="J30" s="60"/>
    </row>
    <row r="31" spans="1:10" x14ac:dyDescent="0.25">
      <c r="A31" s="63" t="s">
        <v>190</v>
      </c>
      <c r="B31" s="63">
        <v>16504859579</v>
      </c>
      <c r="C31" s="122">
        <f t="shared" si="0"/>
        <v>1.0232559872408804</v>
      </c>
      <c r="D31" s="63">
        <v>8157573576</v>
      </c>
      <c r="E31" s="122">
        <f t="shared" si="1"/>
        <v>8.7106280713967768E-2</v>
      </c>
      <c r="F31" s="63">
        <v>7503933811</v>
      </c>
      <c r="G31" s="122">
        <f>(F31-H31)/H31</f>
        <v>5.0360809293986519E-3</v>
      </c>
      <c r="H31" s="63">
        <v>7466332755</v>
      </c>
      <c r="I31" s="122">
        <f t="shared" si="2"/>
        <v>0.12493930813473277</v>
      </c>
      <c r="J31" s="63">
        <v>6637098287</v>
      </c>
    </row>
    <row r="32" spans="1:10" x14ac:dyDescent="0.25">
      <c r="A32" s="57"/>
      <c r="B32" s="58"/>
      <c r="C32" s="123"/>
      <c r="D32" s="58"/>
      <c r="E32" s="123"/>
      <c r="F32" s="58"/>
      <c r="G32" s="123"/>
      <c r="H32" s="58"/>
      <c r="I32" s="123"/>
      <c r="J32" s="58"/>
    </row>
    <row r="33" spans="1:10" x14ac:dyDescent="0.25">
      <c r="A33" s="71" t="s">
        <v>22</v>
      </c>
      <c r="B33" s="56"/>
      <c r="C33" s="114"/>
      <c r="D33" s="56"/>
      <c r="E33" s="114"/>
      <c r="F33" s="56"/>
      <c r="G33" s="114"/>
      <c r="H33" s="56"/>
      <c r="I33" s="114"/>
      <c r="J33" s="56"/>
    </row>
    <row r="34" spans="1:10" x14ac:dyDescent="0.25">
      <c r="A34" s="72"/>
      <c r="B34" s="56"/>
      <c r="C34" s="114"/>
      <c r="D34" s="56"/>
      <c r="E34" s="114"/>
      <c r="F34" s="56"/>
      <c r="G34" s="114"/>
      <c r="H34" s="56"/>
      <c r="I34" s="114"/>
      <c r="J34" s="56"/>
    </row>
    <row r="35" spans="1:10" x14ac:dyDescent="0.25">
      <c r="A35" s="71" t="s">
        <v>23</v>
      </c>
      <c r="B35" s="56"/>
      <c r="C35" s="114"/>
      <c r="D35" s="56"/>
      <c r="E35" s="114"/>
      <c r="F35" s="56"/>
      <c r="G35" s="114"/>
      <c r="H35" s="56"/>
      <c r="I35" s="114"/>
      <c r="J35" s="56"/>
    </row>
    <row r="36" spans="1:10" x14ac:dyDescent="0.25">
      <c r="A36" s="72" t="s">
        <v>24</v>
      </c>
      <c r="B36" s="77">
        <v>3911162767</v>
      </c>
      <c r="C36" s="114">
        <f t="shared" si="0"/>
        <v>0.47921008898295087</v>
      </c>
      <c r="D36" s="78">
        <v>2644088758</v>
      </c>
      <c r="E36" s="114">
        <f t="shared" si="1"/>
        <v>-5.8567990807864498E-2</v>
      </c>
      <c r="F36" s="78">
        <v>2808581748</v>
      </c>
      <c r="G36" s="114">
        <f>(F36-H36)/H36</f>
        <v>2.3879152569360675</v>
      </c>
      <c r="H36" s="78">
        <v>829000000</v>
      </c>
      <c r="I36" s="114"/>
      <c r="J36" s="113" t="s">
        <v>19</v>
      </c>
    </row>
    <row r="37" spans="1:10" x14ac:dyDescent="0.25">
      <c r="A37" s="72" t="s">
        <v>25</v>
      </c>
      <c r="B37" s="80">
        <v>2051365715</v>
      </c>
      <c r="C37" s="114">
        <f t="shared" si="0"/>
        <v>3.1860085795591746</v>
      </c>
      <c r="D37" s="75">
        <v>490052917</v>
      </c>
      <c r="E37" s="114">
        <f t="shared" si="1"/>
        <v>-0.32005573181600366</v>
      </c>
      <c r="F37" s="75">
        <v>720725124</v>
      </c>
      <c r="G37" s="114">
        <f>(F37-H37)/H37</f>
        <v>0.19846454755655998</v>
      </c>
      <c r="H37" s="75">
        <v>601373754</v>
      </c>
      <c r="I37" s="114"/>
      <c r="J37" s="57"/>
    </row>
    <row r="38" spans="1:10" x14ac:dyDescent="0.25">
      <c r="A38" s="72" t="s">
        <v>26</v>
      </c>
      <c r="B38" s="80">
        <v>357573653</v>
      </c>
      <c r="C38" s="114">
        <f t="shared" si="0"/>
        <v>0.4270107463303297</v>
      </c>
      <c r="D38" s="75">
        <v>250575305</v>
      </c>
      <c r="E38" s="114">
        <f t="shared" si="1"/>
        <v>0.14626682677740641</v>
      </c>
      <c r="F38" s="75">
        <v>218601201</v>
      </c>
      <c r="G38" s="114">
        <f>(F38-H38)/H38</f>
        <v>0.44984472453914043</v>
      </c>
      <c r="H38" s="75">
        <v>150775595</v>
      </c>
      <c r="I38" s="114"/>
      <c r="J38" s="57"/>
    </row>
    <row r="39" spans="1:10" x14ac:dyDescent="0.25">
      <c r="A39" s="72" t="s">
        <v>27</v>
      </c>
      <c r="B39" s="82">
        <v>84886817</v>
      </c>
      <c r="C39" s="114">
        <f t="shared" si="0"/>
        <v>0.5506521459243775</v>
      </c>
      <c r="D39" s="83">
        <v>54742656</v>
      </c>
      <c r="E39" s="114">
        <f t="shared" si="1"/>
        <v>0.64152564519487976</v>
      </c>
      <c r="F39" s="83">
        <v>33348645</v>
      </c>
      <c r="G39" s="114">
        <f>(F39-H39)/H39</f>
        <v>0.77318971774032752</v>
      </c>
      <c r="H39" s="83">
        <v>18807150</v>
      </c>
      <c r="I39" s="114">
        <f t="shared" si="2"/>
        <v>-0.97075332275689319</v>
      </c>
      <c r="J39" s="83">
        <v>643052537</v>
      </c>
    </row>
    <row r="40" spans="1:10" x14ac:dyDescent="0.25">
      <c r="A40" s="72"/>
      <c r="B40" s="75"/>
      <c r="C40" s="114"/>
      <c r="D40" s="75"/>
      <c r="E40" s="114"/>
      <c r="F40" s="75"/>
      <c r="G40" s="114"/>
      <c r="H40" s="75"/>
      <c r="I40" s="114"/>
      <c r="J40" s="75"/>
    </row>
    <row r="41" spans="1:10" x14ac:dyDescent="0.25">
      <c r="A41" s="63" t="s">
        <v>189</v>
      </c>
      <c r="B41" s="64">
        <v>6404988952</v>
      </c>
      <c r="C41" s="122">
        <f t="shared" si="0"/>
        <v>0.86220791340608127</v>
      </c>
      <c r="D41" s="64">
        <v>3439459636</v>
      </c>
      <c r="E41" s="122">
        <f t="shared" si="1"/>
        <v>-9.0392456130507032E-2</v>
      </c>
      <c r="F41" s="64">
        <v>3781256718</v>
      </c>
      <c r="G41" s="122">
        <f>(F41-H41)/H41</f>
        <v>1.3633497037971656</v>
      </c>
      <c r="H41" s="64">
        <v>1599956499</v>
      </c>
      <c r="I41" s="122">
        <f t="shared" si="2"/>
        <v>1.4880649821617919</v>
      </c>
      <c r="J41" s="64">
        <v>643052537</v>
      </c>
    </row>
    <row r="42" spans="1:10" x14ac:dyDescent="0.25">
      <c r="A42" s="56"/>
      <c r="B42" s="60"/>
      <c r="C42" s="114"/>
      <c r="D42" s="60"/>
      <c r="E42" s="114"/>
      <c r="F42" s="60"/>
      <c r="G42" s="114"/>
      <c r="H42" s="60"/>
      <c r="I42" s="114"/>
      <c r="J42" s="60"/>
    </row>
    <row r="43" spans="1:10" x14ac:dyDescent="0.25">
      <c r="A43" s="71" t="s">
        <v>28</v>
      </c>
      <c r="B43" s="56"/>
      <c r="C43" s="114"/>
      <c r="D43" s="56"/>
      <c r="E43" s="114"/>
      <c r="F43" s="56"/>
      <c r="G43" s="114"/>
      <c r="H43" s="56"/>
      <c r="I43" s="114"/>
      <c r="J43" s="56"/>
    </row>
    <row r="44" spans="1:10" x14ac:dyDescent="0.25">
      <c r="A44" s="72" t="s">
        <v>29</v>
      </c>
      <c r="B44" s="77">
        <v>1732056016</v>
      </c>
      <c r="C44" s="114">
        <f t="shared" si="0"/>
        <v>0.45376612314867842</v>
      </c>
      <c r="D44" s="78">
        <v>1191426866</v>
      </c>
      <c r="E44" s="114">
        <f t="shared" si="1"/>
        <v>1.4020534121810588</v>
      </c>
      <c r="F44" s="78">
        <v>496003486</v>
      </c>
      <c r="G44" s="114">
        <f>(F44-H44)/H44</f>
        <v>7.0205967415314069E-2</v>
      </c>
      <c r="H44" s="78">
        <v>463465446</v>
      </c>
      <c r="I44" s="114">
        <f t="shared" si="2"/>
        <v>-0.24652545399059522</v>
      </c>
      <c r="J44" s="78">
        <v>615104317</v>
      </c>
    </row>
    <row r="45" spans="1:10" x14ac:dyDescent="0.25">
      <c r="A45" s="72" t="s">
        <v>30</v>
      </c>
      <c r="B45" s="80">
        <v>2982204</v>
      </c>
      <c r="C45" s="114">
        <f t="shared" si="0"/>
        <v>-3.5271789251393364E-3</v>
      </c>
      <c r="D45" s="75">
        <v>2992760</v>
      </c>
      <c r="E45" s="114">
        <f t="shared" si="1"/>
        <v>-1.4757437400146893E-2</v>
      </c>
      <c r="F45" s="75">
        <v>3037587</v>
      </c>
      <c r="G45" s="114">
        <f>(F45-H45)/H45</f>
        <v>-8.0376013260371013E-2</v>
      </c>
      <c r="H45" s="75">
        <v>3303075</v>
      </c>
      <c r="I45" s="114">
        <f t="shared" si="2"/>
        <v>-0.79519111217815719</v>
      </c>
      <c r="J45" s="75">
        <v>16127596</v>
      </c>
    </row>
    <row r="46" spans="1:10" x14ac:dyDescent="0.25">
      <c r="A46" s="72" t="s">
        <v>31</v>
      </c>
      <c r="B46" s="80">
        <v>5675118</v>
      </c>
      <c r="C46" s="114">
        <f t="shared" si="0"/>
        <v>0.7099074951746962</v>
      </c>
      <c r="D46" s="75">
        <v>3318962</v>
      </c>
      <c r="E46" s="114">
        <f t="shared" si="1"/>
        <v>0.26468927307160306</v>
      </c>
      <c r="F46" s="75">
        <v>2624330</v>
      </c>
      <c r="G46" s="114"/>
      <c r="H46" s="89" t="s">
        <v>19</v>
      </c>
      <c r="I46" s="114">
        <v>0</v>
      </c>
      <c r="J46" s="57"/>
    </row>
    <row r="47" spans="1:10" x14ac:dyDescent="0.25">
      <c r="A47" s="72" t="s">
        <v>32</v>
      </c>
      <c r="B47" s="80">
        <v>251457149</v>
      </c>
      <c r="C47" s="114">
        <f t="shared" si="0"/>
        <v>-0.2926892455837139</v>
      </c>
      <c r="D47" s="75">
        <v>355511559</v>
      </c>
      <c r="E47" s="114">
        <f t="shared" si="1"/>
        <v>0.10700435742916782</v>
      </c>
      <c r="F47" s="75">
        <v>321147389</v>
      </c>
      <c r="G47" s="114">
        <f>(F47-H47)/H47</f>
        <v>2.1695432730459228</v>
      </c>
      <c r="H47" s="75">
        <v>101322923</v>
      </c>
      <c r="I47" s="114">
        <f t="shared" si="2"/>
        <v>0.52257984485220721</v>
      </c>
      <c r="J47" s="75">
        <v>66546870</v>
      </c>
    </row>
    <row r="48" spans="1:10" x14ac:dyDescent="0.25">
      <c r="A48" s="72" t="s">
        <v>33</v>
      </c>
      <c r="B48" s="80">
        <v>16107717529</v>
      </c>
      <c r="C48" s="114">
        <f t="shared" si="0"/>
        <v>0.39049591531502509</v>
      </c>
      <c r="D48" s="75">
        <v>11584153072</v>
      </c>
      <c r="E48" s="114">
        <f t="shared" si="1"/>
        <v>0.26306637886298617</v>
      </c>
      <c r="F48" s="75">
        <v>9171452321</v>
      </c>
      <c r="G48" s="114">
        <f>(F48-H48)/H48</f>
        <v>0.2163123612806046</v>
      </c>
      <c r="H48" s="75">
        <v>7540375822</v>
      </c>
      <c r="I48" s="114">
        <f t="shared" si="2"/>
        <v>-5.4735650027317832E-2</v>
      </c>
      <c r="J48" s="75">
        <v>7977002224</v>
      </c>
    </row>
    <row r="49" spans="1:10" x14ac:dyDescent="0.25">
      <c r="A49" s="72" t="s">
        <v>34</v>
      </c>
      <c r="B49" s="80">
        <v>3193514</v>
      </c>
      <c r="C49" s="114">
        <f t="shared" si="0"/>
        <v>-0.94164201881949383</v>
      </c>
      <c r="D49" s="75">
        <v>54722832</v>
      </c>
      <c r="E49" s="114">
        <f t="shared" si="1"/>
        <v>-0.93408325029541572</v>
      </c>
      <c r="F49" s="75">
        <v>830180982</v>
      </c>
      <c r="G49" s="114">
        <f>(F49-H49)/H49</f>
        <v>1.76726994</v>
      </c>
      <c r="H49" s="75">
        <v>300000000</v>
      </c>
      <c r="I49" s="114">
        <f t="shared" si="2"/>
        <v>7.0901128546472885</v>
      </c>
      <c r="J49" s="75">
        <v>37082301</v>
      </c>
    </row>
    <row r="50" spans="1:10" x14ac:dyDescent="0.25">
      <c r="A50" s="72" t="s">
        <v>35</v>
      </c>
      <c r="B50" s="80">
        <v>765722598</v>
      </c>
      <c r="C50" s="114">
        <f t="shared" si="0"/>
        <v>-6.2703628038406331E-2</v>
      </c>
      <c r="D50" s="75">
        <v>816948215</v>
      </c>
      <c r="E50" s="114">
        <f t="shared" si="1"/>
        <v>0.53743033011355756</v>
      </c>
      <c r="F50" s="75">
        <v>531372511</v>
      </c>
      <c r="G50" s="114">
        <v>0</v>
      </c>
      <c r="H50" s="89" t="s">
        <v>19</v>
      </c>
      <c r="I50" s="114">
        <v>0</v>
      </c>
      <c r="J50" s="75">
        <v>31712571</v>
      </c>
    </row>
    <row r="51" spans="1:10" x14ac:dyDescent="0.25">
      <c r="A51" s="72" t="s">
        <v>36</v>
      </c>
      <c r="B51" s="82">
        <v>21153617</v>
      </c>
      <c r="C51" s="114"/>
      <c r="D51" s="90" t="s">
        <v>19</v>
      </c>
      <c r="E51" s="114"/>
      <c r="F51" s="56"/>
      <c r="G51" s="114"/>
      <c r="H51" s="56"/>
      <c r="I51" s="114"/>
      <c r="J51" s="56"/>
    </row>
    <row r="52" spans="1:10" x14ac:dyDescent="0.25">
      <c r="A52" s="72"/>
      <c r="B52" s="75"/>
      <c r="C52" s="114"/>
      <c r="D52" s="89"/>
      <c r="E52" s="114"/>
      <c r="F52" s="56"/>
      <c r="G52" s="114"/>
      <c r="H52" s="56"/>
      <c r="I52" s="114"/>
      <c r="J52" s="56"/>
    </row>
    <row r="53" spans="1:10" x14ac:dyDescent="0.25">
      <c r="A53" s="63" t="s">
        <v>128</v>
      </c>
      <c r="B53" s="64">
        <v>18889957745</v>
      </c>
      <c r="C53" s="122">
        <f t="shared" si="0"/>
        <v>0.34840870897842952</v>
      </c>
      <c r="D53" s="64">
        <v>14009074266</v>
      </c>
      <c r="E53" s="122">
        <f t="shared" si="1"/>
        <v>0.233647238658613</v>
      </c>
      <c r="F53" s="64">
        <v>11355818606</v>
      </c>
      <c r="G53" s="122">
        <f>(F53-H53)/H53</f>
        <v>0.35052183076429899</v>
      </c>
      <c r="H53" s="64">
        <v>8408467266</v>
      </c>
      <c r="I53" s="122">
        <f t="shared" si="2"/>
        <v>-3.8326265779296501E-2</v>
      </c>
      <c r="J53" s="64">
        <v>8743575879</v>
      </c>
    </row>
    <row r="54" spans="1:10" x14ac:dyDescent="0.25">
      <c r="A54" s="56"/>
      <c r="B54" s="60"/>
      <c r="C54" s="114"/>
      <c r="D54" s="60"/>
      <c r="E54" s="114"/>
      <c r="F54" s="60"/>
      <c r="G54" s="114"/>
      <c r="H54" s="60"/>
      <c r="I54" s="114"/>
      <c r="J54" s="60"/>
    </row>
    <row r="55" spans="1:10" x14ac:dyDescent="0.25">
      <c r="A55" s="66" t="s">
        <v>187</v>
      </c>
      <c r="B55" s="91">
        <v>25294946697</v>
      </c>
      <c r="C55" s="125">
        <f t="shared" si="0"/>
        <v>0.44968894458809644</v>
      </c>
      <c r="D55" s="91">
        <v>17448533902</v>
      </c>
      <c r="E55" s="125">
        <f t="shared" si="1"/>
        <v>0.15270179532866279</v>
      </c>
      <c r="F55" s="91">
        <v>15137075324</v>
      </c>
      <c r="G55" s="125">
        <f>(F55-H55)/H55</f>
        <v>0.51243349396686944</v>
      </c>
      <c r="H55" s="91">
        <v>10008423765</v>
      </c>
      <c r="I55" s="125">
        <f t="shared" si="2"/>
        <v>6.6242672176105022E-2</v>
      </c>
      <c r="J55" s="91">
        <v>9386628416</v>
      </c>
    </row>
    <row r="56" spans="1:10" x14ac:dyDescent="0.25">
      <c r="A56" s="61"/>
      <c r="B56" s="78"/>
      <c r="C56" s="126"/>
      <c r="D56" s="78"/>
      <c r="E56" s="126"/>
      <c r="F56" s="78"/>
      <c r="G56" s="126"/>
      <c r="H56" s="78"/>
      <c r="I56" s="126"/>
      <c r="J56" s="78"/>
    </row>
    <row r="57" spans="1:10" x14ac:dyDescent="0.25">
      <c r="A57" s="65" t="s">
        <v>188</v>
      </c>
      <c r="B57" s="86">
        <v>41799806276</v>
      </c>
      <c r="C57" s="124">
        <f t="shared" si="0"/>
        <v>0.6324154818108586</v>
      </c>
      <c r="D57" s="86">
        <v>25606107478</v>
      </c>
      <c r="E57" s="124">
        <f t="shared" si="1"/>
        <v>0.13096140394273995</v>
      </c>
      <c r="F57" s="86">
        <v>22641009135</v>
      </c>
      <c r="G57" s="124">
        <f>(F57-H57)/H57</f>
        <v>0.29564089256907139</v>
      </c>
      <c r="H57" s="86">
        <v>17474756520</v>
      </c>
      <c r="I57" s="124">
        <f t="shared" si="2"/>
        <v>9.0555077722857993E-2</v>
      </c>
      <c r="J57" s="86">
        <v>16023726703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FA61-DFA5-444A-8BDC-8472BFB6EDAB}">
  <dimension ref="A1:K62"/>
  <sheetViews>
    <sheetView topLeftCell="A16" zoomScale="72" zoomScaleNormal="72" workbookViewId="0">
      <selection activeCell="M19" sqref="M19"/>
    </sheetView>
  </sheetViews>
  <sheetFormatPr defaultRowHeight="13.2" x14ac:dyDescent="0.25"/>
  <cols>
    <col min="1" max="1" width="52" bestFit="1" customWidth="1"/>
    <col min="2" max="2" width="13.77734375" hidden="1" customWidth="1"/>
    <col min="3" max="3" width="11.77734375" style="127" customWidth="1"/>
    <col min="4" max="4" width="13.77734375" hidden="1" customWidth="1"/>
    <col min="5" max="5" width="13.77734375" style="127" customWidth="1"/>
    <col min="6" max="6" width="13.77734375" hidden="1" customWidth="1"/>
    <col min="7" max="7" width="13.77734375" style="127" customWidth="1"/>
    <col min="8" max="8" width="13.77734375" hidden="1" customWidth="1"/>
    <col min="9" max="9" width="13.77734375" style="127" customWidth="1"/>
    <col min="10" max="10" width="13.77734375" hidden="1" customWidth="1"/>
  </cols>
  <sheetData>
    <row r="1" spans="1:11" x14ac:dyDescent="0.25">
      <c r="A1" s="191" t="s">
        <v>197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2" spans="1:11" x14ac:dyDescent="0.25">
      <c r="A2" s="69"/>
      <c r="B2" s="70">
        <v>2021</v>
      </c>
      <c r="C2" s="130">
        <v>2021</v>
      </c>
      <c r="D2" s="70">
        <v>2020</v>
      </c>
      <c r="E2" s="130">
        <v>2020</v>
      </c>
      <c r="F2" s="70">
        <v>2019</v>
      </c>
      <c r="G2" s="130">
        <v>2019</v>
      </c>
      <c r="H2" s="70">
        <v>2018</v>
      </c>
      <c r="I2" s="130">
        <v>2018</v>
      </c>
      <c r="J2" s="70">
        <v>2017</v>
      </c>
      <c r="K2" s="130">
        <v>2017</v>
      </c>
    </row>
    <row r="3" spans="1:11" x14ac:dyDescent="0.25">
      <c r="A3" s="71" t="s">
        <v>1</v>
      </c>
      <c r="B3" s="56"/>
      <c r="C3" s="114"/>
      <c r="D3" s="56"/>
      <c r="E3" s="114"/>
      <c r="F3" s="56"/>
      <c r="G3" s="114"/>
      <c r="H3" s="56"/>
      <c r="I3" s="114"/>
      <c r="J3" s="56"/>
    </row>
    <row r="4" spans="1:11" x14ac:dyDescent="0.25">
      <c r="A4" s="71" t="s">
        <v>2</v>
      </c>
      <c r="B4" s="56"/>
      <c r="C4" s="114"/>
      <c r="D4" s="56"/>
      <c r="E4" s="114"/>
      <c r="F4" s="56"/>
      <c r="G4" s="114"/>
      <c r="H4" s="56"/>
      <c r="I4" s="114"/>
      <c r="J4" s="56"/>
    </row>
    <row r="5" spans="1:11" x14ac:dyDescent="0.25">
      <c r="A5" s="72" t="s">
        <v>3</v>
      </c>
      <c r="B5" s="60">
        <v>15799442920</v>
      </c>
      <c r="C5" s="128">
        <f>B5/$B$22</f>
        <v>0.37797885510946716</v>
      </c>
      <c r="D5" s="60">
        <v>9918014133</v>
      </c>
      <c r="E5" s="114">
        <f>D5/$D$22</f>
        <v>0.38733002044614789</v>
      </c>
      <c r="F5" s="60">
        <v>8584311799</v>
      </c>
      <c r="G5" s="114">
        <f>F5/$F$22</f>
        <v>0.3791488156651901</v>
      </c>
      <c r="H5" s="60">
        <v>6304748282</v>
      </c>
      <c r="I5" s="114">
        <f>H5/$H$22</f>
        <v>0.36079176695733439</v>
      </c>
      <c r="J5" s="60">
        <v>4250865732</v>
      </c>
      <c r="K5" s="129">
        <f>J5/$J$22</f>
        <v>0.26528571104524284</v>
      </c>
    </row>
    <row r="6" spans="1:11" x14ac:dyDescent="0.25">
      <c r="A6" s="72" t="s">
        <v>4</v>
      </c>
      <c r="B6" s="60">
        <v>3608274</v>
      </c>
      <c r="C6" s="128">
        <f t="shared" ref="C6:C57" si="0">B6/$B$22</f>
        <v>8.6322744564291099E-5</v>
      </c>
      <c r="D6" s="60">
        <v>6494897</v>
      </c>
      <c r="E6" s="114">
        <f t="shared" ref="E6:E57" si="1">D6/$D$22</f>
        <v>2.5364640078857047E-4</v>
      </c>
      <c r="F6" s="60">
        <v>9381520</v>
      </c>
      <c r="G6" s="114">
        <f t="shared" ref="G6:G57" si="2">F6/$F$22</f>
        <v>4.1435962257960549E-4</v>
      </c>
      <c r="H6" s="60">
        <v>12268143</v>
      </c>
      <c r="I6" s="114">
        <f t="shared" ref="I6:I57" si="3">H6/$H$22</f>
        <v>7.0204943834032882E-4</v>
      </c>
      <c r="J6" s="72" t="s">
        <v>19</v>
      </c>
      <c r="K6" s="129" t="s">
        <v>19</v>
      </c>
    </row>
    <row r="7" spans="1:11" x14ac:dyDescent="0.25">
      <c r="A7" s="72" t="s">
        <v>5</v>
      </c>
      <c r="B7" s="60">
        <v>36127968</v>
      </c>
      <c r="C7" s="128">
        <f t="shared" si="0"/>
        <v>8.6430946022693475E-4</v>
      </c>
      <c r="D7" s="60">
        <v>21551435</v>
      </c>
      <c r="E7" s="114">
        <f t="shared" si="1"/>
        <v>8.4165213391048787E-4</v>
      </c>
      <c r="F7" s="60">
        <v>12704229</v>
      </c>
      <c r="G7" s="114">
        <f t="shared" si="2"/>
        <v>5.6111584621733779E-4</v>
      </c>
      <c r="H7" s="60">
        <v>6570659</v>
      </c>
      <c r="I7" s="114">
        <f t="shared" si="3"/>
        <v>3.7600861519757528E-4</v>
      </c>
      <c r="J7" s="60">
        <v>5640118</v>
      </c>
      <c r="K7" s="129">
        <f t="shared" ref="K7:K57" si="4">J7/$J$22</f>
        <v>3.5198540917101659E-4</v>
      </c>
    </row>
    <row r="8" spans="1:11" x14ac:dyDescent="0.25">
      <c r="A8" s="72" t="s">
        <v>6</v>
      </c>
      <c r="B8" s="60">
        <v>19845317</v>
      </c>
      <c r="C8" s="128">
        <f t="shared" si="0"/>
        <v>4.747705496279894E-4</v>
      </c>
      <c r="D8" s="60">
        <v>19745317</v>
      </c>
      <c r="E8" s="114">
        <f t="shared" si="1"/>
        <v>7.7111747722548557E-4</v>
      </c>
      <c r="F8" s="60">
        <v>21430317</v>
      </c>
      <c r="G8" s="114">
        <f t="shared" si="2"/>
        <v>9.4652658246012413E-4</v>
      </c>
      <c r="H8" s="60">
        <v>20845317</v>
      </c>
      <c r="I8" s="114">
        <f t="shared" si="3"/>
        <v>1.1928816848545138E-3</v>
      </c>
      <c r="J8" s="60">
        <v>18258313</v>
      </c>
      <c r="K8" s="129">
        <f t="shared" si="4"/>
        <v>1.1394548433343932E-3</v>
      </c>
    </row>
    <row r="9" spans="1:11" x14ac:dyDescent="0.25">
      <c r="A9" s="72"/>
      <c r="B9" s="60"/>
      <c r="C9" s="128">
        <f t="shared" si="0"/>
        <v>0</v>
      </c>
      <c r="D9" s="60"/>
      <c r="E9" s="114">
        <f t="shared" si="1"/>
        <v>0</v>
      </c>
      <c r="F9" s="60"/>
      <c r="G9" s="114">
        <f t="shared" si="2"/>
        <v>0</v>
      </c>
      <c r="H9" s="60"/>
      <c r="I9" s="114">
        <f t="shared" si="3"/>
        <v>0</v>
      </c>
      <c r="J9" s="60"/>
      <c r="K9" s="129">
        <f t="shared" si="4"/>
        <v>0</v>
      </c>
    </row>
    <row r="10" spans="1:11" s="119" customFormat="1" x14ac:dyDescent="0.25">
      <c r="A10" s="115" t="s">
        <v>192</v>
      </c>
      <c r="B10" s="115">
        <v>15859024479</v>
      </c>
      <c r="C10" s="131">
        <f t="shared" si="0"/>
        <v>0.37940425786388637</v>
      </c>
      <c r="D10" s="115">
        <v>9965805782</v>
      </c>
      <c r="E10" s="117">
        <f t="shared" si="1"/>
        <v>0.38919643645807239</v>
      </c>
      <c r="F10" s="115">
        <v>8627827865</v>
      </c>
      <c r="G10" s="117">
        <f t="shared" si="2"/>
        <v>0.38107081771644719</v>
      </c>
      <c r="H10" s="115">
        <v>6344432401</v>
      </c>
      <c r="I10" s="117">
        <f t="shared" si="3"/>
        <v>0.36306270669572682</v>
      </c>
      <c r="J10" s="115">
        <v>4274764163</v>
      </c>
      <c r="K10" s="132">
        <f t="shared" si="4"/>
        <v>0.26677715129774826</v>
      </c>
    </row>
    <row r="11" spans="1:11" x14ac:dyDescent="0.25">
      <c r="A11" s="57"/>
      <c r="B11" s="75"/>
      <c r="C11" s="128"/>
      <c r="D11" s="75"/>
      <c r="E11" s="114"/>
      <c r="F11" s="75"/>
      <c r="G11" s="114"/>
      <c r="H11" s="75"/>
      <c r="I11" s="114"/>
      <c r="J11" s="60"/>
      <c r="K11" s="129"/>
    </row>
    <row r="12" spans="1:11" x14ac:dyDescent="0.25">
      <c r="A12" s="71" t="s">
        <v>7</v>
      </c>
      <c r="B12" s="56"/>
      <c r="C12" s="128"/>
      <c r="D12" s="56"/>
      <c r="E12" s="114"/>
      <c r="F12" s="56"/>
      <c r="G12" s="114"/>
      <c r="H12" s="56"/>
      <c r="I12" s="114"/>
      <c r="J12" s="56"/>
      <c r="K12" s="129"/>
    </row>
    <row r="13" spans="1:11" x14ac:dyDescent="0.25">
      <c r="A13" s="72" t="s">
        <v>8</v>
      </c>
      <c r="B13" s="77">
        <v>14867878271</v>
      </c>
      <c r="C13" s="128">
        <f t="shared" si="0"/>
        <v>0.35569251620040693</v>
      </c>
      <c r="D13" s="78">
        <v>8120223635</v>
      </c>
      <c r="E13" s="114">
        <f t="shared" si="1"/>
        <v>0.31712057922027598</v>
      </c>
      <c r="F13" s="78">
        <v>5620331302</v>
      </c>
      <c r="G13" s="114">
        <f t="shared" si="2"/>
        <v>0.24823678434508084</v>
      </c>
      <c r="H13" s="79">
        <v>5916918189</v>
      </c>
      <c r="I13" s="114">
        <f t="shared" si="3"/>
        <v>0.33859803323886312</v>
      </c>
      <c r="J13" s="77">
        <v>5381802193</v>
      </c>
      <c r="K13" s="129">
        <f t="shared" si="4"/>
        <v>0.33586457712065237</v>
      </c>
    </row>
    <row r="14" spans="1:11" x14ac:dyDescent="0.25">
      <c r="A14" s="72" t="s">
        <v>9</v>
      </c>
      <c r="B14" s="80">
        <v>5259128868</v>
      </c>
      <c r="C14" s="128">
        <f t="shared" si="0"/>
        <v>0.12581706320059213</v>
      </c>
      <c r="D14" s="75">
        <v>2182004268</v>
      </c>
      <c r="E14" s="114">
        <f t="shared" si="1"/>
        <v>8.5214211877955789E-2</v>
      </c>
      <c r="F14" s="75">
        <v>3304003346</v>
      </c>
      <c r="G14" s="114">
        <f t="shared" si="2"/>
        <v>0.1459300389969124</v>
      </c>
      <c r="H14" s="81">
        <v>1263279786</v>
      </c>
      <c r="I14" s="114">
        <f t="shared" si="3"/>
        <v>7.229169599897807E-2</v>
      </c>
      <c r="J14" s="80">
        <v>1347038735</v>
      </c>
      <c r="K14" s="129">
        <f t="shared" si="4"/>
        <v>8.4065258972983128E-2</v>
      </c>
    </row>
    <row r="15" spans="1:11" x14ac:dyDescent="0.25">
      <c r="A15" s="72" t="s">
        <v>10</v>
      </c>
      <c r="B15" s="80">
        <v>135593891</v>
      </c>
      <c r="C15" s="128">
        <f t="shared" si="0"/>
        <v>3.2438880243771204E-3</v>
      </c>
      <c r="D15" s="75">
        <v>280203250</v>
      </c>
      <c r="E15" s="114">
        <f t="shared" si="1"/>
        <v>1.0942828785700531E-2</v>
      </c>
      <c r="F15" s="75">
        <v>373905875</v>
      </c>
      <c r="G15" s="114">
        <f t="shared" si="2"/>
        <v>1.6514541060009161E-2</v>
      </c>
      <c r="H15" s="81">
        <v>373907586</v>
      </c>
      <c r="I15" s="114">
        <f t="shared" si="3"/>
        <v>2.1397012632024929E-2</v>
      </c>
      <c r="J15" s="80">
        <v>289764961</v>
      </c>
      <c r="K15" s="129">
        <f t="shared" si="4"/>
        <v>1.8083493707225392E-2</v>
      </c>
    </row>
    <row r="16" spans="1:11" x14ac:dyDescent="0.25">
      <c r="A16" s="72" t="s">
        <v>11</v>
      </c>
      <c r="B16" s="80">
        <v>932103249</v>
      </c>
      <c r="C16" s="128">
        <f t="shared" si="0"/>
        <v>2.2299224136241545E-2</v>
      </c>
      <c r="D16" s="75">
        <v>54867473</v>
      </c>
      <c r="E16" s="114">
        <f t="shared" si="1"/>
        <v>2.1427494611252606E-3</v>
      </c>
      <c r="F16" s="75">
        <v>52957817</v>
      </c>
      <c r="G16" s="114">
        <f t="shared" si="2"/>
        <v>2.3390219351192361E-3</v>
      </c>
      <c r="H16" s="81">
        <v>26945193</v>
      </c>
      <c r="I16" s="114">
        <f t="shared" si="3"/>
        <v>1.5419495527254419E-3</v>
      </c>
      <c r="J16" s="80">
        <v>57838052</v>
      </c>
      <c r="K16" s="129">
        <f t="shared" si="4"/>
        <v>3.6095256161084812E-3</v>
      </c>
    </row>
    <row r="17" spans="1:11" x14ac:dyDescent="0.25">
      <c r="A17" s="72" t="s">
        <v>12</v>
      </c>
      <c r="B17" s="80">
        <v>2529148380</v>
      </c>
      <c r="C17" s="128">
        <f t="shared" si="0"/>
        <v>6.0506222524101726E-2</v>
      </c>
      <c r="D17" s="75">
        <v>2626213020</v>
      </c>
      <c r="E17" s="114">
        <f t="shared" si="1"/>
        <v>0.10256197753822456</v>
      </c>
      <c r="F17" s="75">
        <v>1460233079</v>
      </c>
      <c r="G17" s="114">
        <f t="shared" si="2"/>
        <v>6.4495052773185499E-2</v>
      </c>
      <c r="H17" s="81">
        <v>2298101893</v>
      </c>
      <c r="I17" s="114">
        <f t="shared" si="3"/>
        <v>0.13150980904196313</v>
      </c>
      <c r="J17" s="80">
        <v>1870882567</v>
      </c>
      <c r="K17" s="129">
        <f t="shared" si="4"/>
        <v>0.11675701924257913</v>
      </c>
    </row>
    <row r="18" spans="1:11" x14ac:dyDescent="0.25">
      <c r="A18" s="72" t="s">
        <v>13</v>
      </c>
      <c r="B18" s="82">
        <v>2216929138</v>
      </c>
      <c r="C18" s="128">
        <f t="shared" si="0"/>
        <v>5.303682805039419E-2</v>
      </c>
      <c r="D18" s="83">
        <v>2376790050</v>
      </c>
      <c r="E18" s="114">
        <f t="shared" si="1"/>
        <v>9.282121665864547E-2</v>
      </c>
      <c r="F18" s="83">
        <v>3201749851</v>
      </c>
      <c r="G18" s="114">
        <f t="shared" si="2"/>
        <v>0.1414137431732457</v>
      </c>
      <c r="H18" s="84">
        <v>1251171472</v>
      </c>
      <c r="I18" s="114">
        <f t="shared" si="3"/>
        <v>7.1598792839718484E-2</v>
      </c>
      <c r="J18" s="82">
        <v>2338891995</v>
      </c>
      <c r="K18" s="129">
        <f t="shared" si="4"/>
        <v>0.14596429646806863</v>
      </c>
    </row>
    <row r="19" spans="1:11" x14ac:dyDescent="0.25">
      <c r="A19" s="72"/>
      <c r="B19" s="75"/>
      <c r="C19" s="128"/>
      <c r="D19" s="75"/>
      <c r="E19" s="114"/>
      <c r="F19" s="75"/>
      <c r="G19" s="114"/>
      <c r="H19" s="75"/>
      <c r="I19" s="114"/>
      <c r="J19" s="75"/>
      <c r="K19" s="129"/>
    </row>
    <row r="20" spans="1:11" s="119" customFormat="1" x14ac:dyDescent="0.25">
      <c r="A20" s="120" t="s">
        <v>138</v>
      </c>
      <c r="B20" s="120">
        <v>25940781797</v>
      </c>
      <c r="C20" s="131">
        <f t="shared" si="0"/>
        <v>0.62059574213611368</v>
      </c>
      <c r="D20" s="120">
        <v>15640301696</v>
      </c>
      <c r="E20" s="117">
        <f t="shared" si="1"/>
        <v>0.61080356354192755</v>
      </c>
      <c r="F20" s="120">
        <v>14013181270</v>
      </c>
      <c r="G20" s="117">
        <f t="shared" si="2"/>
        <v>0.61892918228355287</v>
      </c>
      <c r="H20" s="120">
        <v>11130324119</v>
      </c>
      <c r="I20" s="117">
        <f t="shared" si="3"/>
        <v>0.63693729330427318</v>
      </c>
      <c r="J20" s="120">
        <v>11748962540</v>
      </c>
      <c r="K20" s="132">
        <f t="shared" si="4"/>
        <v>0.73322284870225174</v>
      </c>
    </row>
    <row r="21" spans="1:11" x14ac:dyDescent="0.25">
      <c r="A21" s="58"/>
      <c r="B21" s="58"/>
      <c r="C21" s="128"/>
      <c r="D21" s="58"/>
      <c r="E21" s="114"/>
      <c r="F21" s="58"/>
      <c r="G21" s="114"/>
      <c r="H21" s="58"/>
      <c r="I21" s="114"/>
      <c r="J21" s="58"/>
      <c r="K21" s="129"/>
    </row>
    <row r="22" spans="1:11" s="138" customFormat="1" x14ac:dyDescent="0.25">
      <c r="A22" s="134" t="s">
        <v>191</v>
      </c>
      <c r="B22" s="65">
        <v>41799806276</v>
      </c>
      <c r="C22" s="135">
        <f t="shared" si="0"/>
        <v>1</v>
      </c>
      <c r="D22" s="65">
        <v>25606107478</v>
      </c>
      <c r="E22" s="136">
        <f t="shared" si="1"/>
        <v>1</v>
      </c>
      <c r="F22" s="65">
        <v>22641009135</v>
      </c>
      <c r="G22" s="136">
        <f t="shared" si="2"/>
        <v>1</v>
      </c>
      <c r="H22" s="65">
        <v>17474756520</v>
      </c>
      <c r="I22" s="136">
        <f t="shared" si="3"/>
        <v>1</v>
      </c>
      <c r="J22" s="65">
        <v>16023726703</v>
      </c>
      <c r="K22" s="137">
        <f t="shared" si="4"/>
        <v>1</v>
      </c>
    </row>
    <row r="23" spans="1:11" x14ac:dyDescent="0.25">
      <c r="A23" s="59"/>
      <c r="B23" s="75"/>
      <c r="C23" s="128"/>
      <c r="D23" s="75"/>
      <c r="E23" s="114"/>
      <c r="F23" s="75"/>
      <c r="G23" s="114"/>
      <c r="H23" s="75"/>
      <c r="I23" s="114"/>
      <c r="J23" s="60"/>
      <c r="K23" s="129"/>
    </row>
    <row r="24" spans="1:11" x14ac:dyDescent="0.25">
      <c r="A24" s="71" t="s">
        <v>14</v>
      </c>
      <c r="B24" s="56"/>
      <c r="C24" s="128"/>
      <c r="D24" s="56"/>
      <c r="E24" s="114"/>
      <c r="F24" s="56"/>
      <c r="G24" s="114"/>
      <c r="H24" s="56"/>
      <c r="I24" s="114"/>
      <c r="J24" s="56"/>
      <c r="K24" s="129"/>
    </row>
    <row r="25" spans="1:11" x14ac:dyDescent="0.25">
      <c r="A25" s="71" t="s">
        <v>15</v>
      </c>
      <c r="B25" s="56"/>
      <c r="C25" s="128"/>
      <c r="D25" s="56"/>
      <c r="E25" s="114"/>
      <c r="F25" s="56"/>
      <c r="G25" s="114"/>
      <c r="H25" s="56"/>
      <c r="I25" s="114"/>
      <c r="J25" s="56"/>
      <c r="K25" s="129"/>
    </row>
    <row r="26" spans="1:11" x14ac:dyDescent="0.25">
      <c r="A26" s="72" t="s">
        <v>16</v>
      </c>
      <c r="B26" s="60">
        <v>5000000000</v>
      </c>
      <c r="C26" s="128">
        <f t="shared" si="0"/>
        <v>0.1196177792544179</v>
      </c>
      <c r="D26" s="60">
        <v>3000000000</v>
      </c>
      <c r="E26" s="114">
        <f t="shared" si="1"/>
        <v>0.11715954885284732</v>
      </c>
      <c r="F26" s="60">
        <v>3000000000</v>
      </c>
      <c r="G26" s="114">
        <f t="shared" si="2"/>
        <v>0.13250292785591422</v>
      </c>
      <c r="H26" s="60">
        <v>3000000000</v>
      </c>
      <c r="I26" s="114">
        <f t="shared" si="3"/>
        <v>0.17167621171525199</v>
      </c>
      <c r="J26" s="60">
        <v>3000000000</v>
      </c>
      <c r="K26" s="129">
        <f t="shared" si="4"/>
        <v>0.18722236441029244</v>
      </c>
    </row>
    <row r="27" spans="1:11" x14ac:dyDescent="0.25">
      <c r="A27" s="72" t="s">
        <v>17</v>
      </c>
      <c r="B27" s="60">
        <v>2918555940</v>
      </c>
      <c r="C27" s="128">
        <f t="shared" si="0"/>
        <v>6.9822236034518023E-2</v>
      </c>
      <c r="D27" s="60">
        <v>2515996500</v>
      </c>
      <c r="E27" s="114">
        <f t="shared" si="1"/>
        <v>9.8257671618447617E-2</v>
      </c>
      <c r="F27" s="60">
        <v>2515996500</v>
      </c>
      <c r="G27" s="114">
        <f t="shared" si="2"/>
        <v>0.11112563424174424</v>
      </c>
      <c r="H27" s="60">
        <v>2515996500</v>
      </c>
      <c r="I27" s="114">
        <f t="shared" si="3"/>
        <v>0.14397891593627765</v>
      </c>
      <c r="J27" s="60">
        <v>2515996500</v>
      </c>
      <c r="K27" s="129">
        <f t="shared" si="4"/>
        <v>0.15701693785934012</v>
      </c>
    </row>
    <row r="28" spans="1:11" x14ac:dyDescent="0.25">
      <c r="A28" s="72" t="s">
        <v>18</v>
      </c>
      <c r="B28" s="60">
        <v>7144980314</v>
      </c>
      <c r="C28" s="128">
        <f t="shared" si="0"/>
        <v>0.17093333559544269</v>
      </c>
      <c r="D28" s="60">
        <v>1419413456</v>
      </c>
      <c r="E28" s="114">
        <f t="shared" si="1"/>
        <v>5.5432613380206948E-2</v>
      </c>
      <c r="F28" s="60">
        <v>4822104763</v>
      </c>
      <c r="G28" s="114">
        <f t="shared" si="2"/>
        <v>0.21298099984181645</v>
      </c>
      <c r="H28" s="60">
        <v>4026299038</v>
      </c>
      <c r="I28" s="114">
        <f t="shared" si="3"/>
        <v>0.23040658869220113</v>
      </c>
      <c r="J28" s="60">
        <v>2897064570</v>
      </c>
      <c r="K28" s="129">
        <f t="shared" si="4"/>
        <v>0.18079842621489572</v>
      </c>
    </row>
    <row r="29" spans="1:11" x14ac:dyDescent="0.25">
      <c r="A29" s="72" t="s">
        <v>20</v>
      </c>
      <c r="B29" s="72" t="s">
        <v>19</v>
      </c>
      <c r="C29" s="128" t="s">
        <v>19</v>
      </c>
      <c r="D29" s="60">
        <v>500000000</v>
      </c>
      <c r="E29" s="114">
        <f t="shared" si="1"/>
        <v>1.9526591475474551E-2</v>
      </c>
      <c r="F29" s="60">
        <v>165832548</v>
      </c>
      <c r="G29" s="114">
        <f t="shared" si="2"/>
        <v>7.3244327146021445E-3</v>
      </c>
      <c r="H29" s="60">
        <v>924037217</v>
      </c>
      <c r="I29" s="114">
        <f t="shared" si="3"/>
        <v>5.2878402966154744E-2</v>
      </c>
      <c r="J29" s="60">
        <v>1224037217</v>
      </c>
      <c r="K29" s="129">
        <f t="shared" si="4"/>
        <v>7.6389047297644744E-2</v>
      </c>
    </row>
    <row r="30" spans="1:11" x14ac:dyDescent="0.25">
      <c r="A30" s="72"/>
      <c r="B30" s="72"/>
      <c r="C30" s="128"/>
      <c r="D30" s="60"/>
      <c r="E30" s="114"/>
      <c r="F30" s="60"/>
      <c r="G30" s="114"/>
      <c r="H30" s="60"/>
      <c r="I30" s="114"/>
      <c r="J30" s="60"/>
      <c r="K30" s="129"/>
    </row>
    <row r="31" spans="1:11" s="119" customFormat="1" x14ac:dyDescent="0.25">
      <c r="A31" s="120" t="s">
        <v>190</v>
      </c>
      <c r="B31" s="120">
        <v>16504859579</v>
      </c>
      <c r="C31" s="131">
        <f t="shared" si="0"/>
        <v>0.39485492994919735</v>
      </c>
      <c r="D31" s="120">
        <v>8157573576</v>
      </c>
      <c r="E31" s="117">
        <f t="shared" si="1"/>
        <v>0.31857921329935612</v>
      </c>
      <c r="F31" s="120">
        <v>7503933811</v>
      </c>
      <c r="G31" s="117">
        <f t="shared" si="2"/>
        <v>0.33143106679816281</v>
      </c>
      <c r="H31" s="120">
        <v>7466332755</v>
      </c>
      <c r="I31" s="117">
        <f t="shared" si="3"/>
        <v>0.42726390759463356</v>
      </c>
      <c r="J31" s="120">
        <v>6637098287</v>
      </c>
      <c r="K31" s="132">
        <f t="shared" si="4"/>
        <v>0.41420441137188058</v>
      </c>
    </row>
    <row r="32" spans="1:11" x14ac:dyDescent="0.25">
      <c r="A32" s="57"/>
      <c r="B32" s="58"/>
      <c r="C32" s="128"/>
      <c r="D32" s="58"/>
      <c r="E32" s="114"/>
      <c r="F32" s="58"/>
      <c r="G32" s="114"/>
      <c r="H32" s="58"/>
      <c r="I32" s="114"/>
      <c r="J32" s="58"/>
      <c r="K32" s="129"/>
    </row>
    <row r="33" spans="1:11" x14ac:dyDescent="0.25">
      <c r="A33" s="71" t="s">
        <v>22</v>
      </c>
      <c r="B33" s="56"/>
      <c r="C33" s="128"/>
      <c r="D33" s="56"/>
      <c r="E33" s="114"/>
      <c r="F33" s="56"/>
      <c r="G33" s="114"/>
      <c r="H33" s="56"/>
      <c r="I33" s="114"/>
      <c r="J33" s="56"/>
      <c r="K33" s="129"/>
    </row>
    <row r="34" spans="1:11" x14ac:dyDescent="0.25">
      <c r="A34" s="72"/>
      <c r="B34" s="56"/>
      <c r="C34" s="128"/>
      <c r="D34" s="56"/>
      <c r="E34" s="114"/>
      <c r="F34" s="56"/>
      <c r="G34" s="114"/>
      <c r="H34" s="56"/>
      <c r="I34" s="114"/>
      <c r="J34" s="56"/>
      <c r="K34" s="129"/>
    </row>
    <row r="35" spans="1:11" x14ac:dyDescent="0.25">
      <c r="A35" s="71" t="s">
        <v>23</v>
      </c>
      <c r="B35" s="56"/>
      <c r="C35" s="128"/>
      <c r="D35" s="56"/>
      <c r="E35" s="114"/>
      <c r="F35" s="56"/>
      <c r="G35" s="114"/>
      <c r="H35" s="56"/>
      <c r="I35" s="114"/>
      <c r="J35" s="56"/>
      <c r="K35" s="129"/>
    </row>
    <row r="36" spans="1:11" x14ac:dyDescent="0.25">
      <c r="A36" s="72" t="s">
        <v>24</v>
      </c>
      <c r="B36" s="77">
        <v>3911162767</v>
      </c>
      <c r="C36" s="128">
        <f t="shared" si="0"/>
        <v>9.3568920898220859E-2</v>
      </c>
      <c r="D36" s="78">
        <v>2644088758</v>
      </c>
      <c r="E36" s="114">
        <f t="shared" si="1"/>
        <v>0.1032600820047218</v>
      </c>
      <c r="F36" s="78">
        <v>2808581748</v>
      </c>
      <c r="G36" s="114">
        <f t="shared" si="2"/>
        <v>0.12404843491089383</v>
      </c>
      <c r="H36" s="78">
        <v>829000000</v>
      </c>
      <c r="I36" s="114">
        <f t="shared" si="3"/>
        <v>4.7439859837314635E-2</v>
      </c>
      <c r="J36" s="113" t="s">
        <v>19</v>
      </c>
      <c r="K36" s="129" t="s">
        <v>19</v>
      </c>
    </row>
    <row r="37" spans="1:11" x14ac:dyDescent="0.25">
      <c r="A37" s="72" t="s">
        <v>25</v>
      </c>
      <c r="B37" s="80">
        <v>2051365715</v>
      </c>
      <c r="C37" s="128">
        <f t="shared" si="0"/>
        <v>4.9075962253390226E-2</v>
      </c>
      <c r="D37" s="75">
        <v>490052917</v>
      </c>
      <c r="E37" s="114">
        <f t="shared" si="1"/>
        <v>1.9138126223247277E-2</v>
      </c>
      <c r="F37" s="75">
        <v>720725124</v>
      </c>
      <c r="G37" s="114">
        <f t="shared" si="2"/>
        <v>3.1832729703105613E-2</v>
      </c>
      <c r="H37" s="75">
        <v>601373754</v>
      </c>
      <c r="I37" s="114">
        <f t="shared" si="3"/>
        <v>3.441385597056662E-2</v>
      </c>
      <c r="J37" s="57"/>
      <c r="K37" s="129">
        <f t="shared" si="4"/>
        <v>0</v>
      </c>
    </row>
    <row r="38" spans="1:11" x14ac:dyDescent="0.25">
      <c r="A38" s="72" t="s">
        <v>26</v>
      </c>
      <c r="B38" s="80">
        <v>357573653</v>
      </c>
      <c r="C38" s="128">
        <f t="shared" si="0"/>
        <v>8.5544332583499649E-3</v>
      </c>
      <c r="D38" s="75">
        <v>250575305</v>
      </c>
      <c r="E38" s="114">
        <f t="shared" si="1"/>
        <v>9.7857632291548716E-3</v>
      </c>
      <c r="F38" s="75">
        <v>218601201</v>
      </c>
      <c r="G38" s="114">
        <f t="shared" si="2"/>
        <v>9.6550997217730687E-3</v>
      </c>
      <c r="H38" s="75">
        <v>150775595</v>
      </c>
      <c r="I38" s="114">
        <f t="shared" si="3"/>
        <v>8.6281943229043635E-3</v>
      </c>
      <c r="J38" s="57"/>
      <c r="K38" s="129">
        <f t="shared" si="4"/>
        <v>0</v>
      </c>
    </row>
    <row r="39" spans="1:11" x14ac:dyDescent="0.25">
      <c r="A39" s="72" t="s">
        <v>27</v>
      </c>
      <c r="B39" s="82">
        <v>84886817</v>
      </c>
      <c r="C39" s="128">
        <f t="shared" si="0"/>
        <v>2.0307945075032337E-3</v>
      </c>
      <c r="D39" s="83">
        <v>54742656</v>
      </c>
      <c r="E39" s="114">
        <f t="shared" si="1"/>
        <v>2.1378749599888719E-3</v>
      </c>
      <c r="F39" s="83">
        <v>33348645</v>
      </c>
      <c r="G39" s="114">
        <f t="shared" si="2"/>
        <v>1.4729310341758317E-3</v>
      </c>
      <c r="H39" s="83">
        <v>18807150</v>
      </c>
      <c r="I39" s="114">
        <f t="shared" si="3"/>
        <v>1.0762467550535005E-3</v>
      </c>
      <c r="J39" s="83">
        <v>643052537</v>
      </c>
      <c r="K39" s="129">
        <f t="shared" si="4"/>
        <v>4.0131272139059024E-2</v>
      </c>
    </row>
    <row r="40" spans="1:11" x14ac:dyDescent="0.25">
      <c r="A40" s="72"/>
      <c r="B40" s="75"/>
      <c r="C40" s="128"/>
      <c r="D40" s="75"/>
      <c r="E40" s="114"/>
      <c r="F40" s="75"/>
      <c r="G40" s="114"/>
      <c r="H40" s="75"/>
      <c r="I40" s="114"/>
      <c r="J40" s="75"/>
      <c r="K40" s="129"/>
    </row>
    <row r="41" spans="1:11" s="119" customFormat="1" x14ac:dyDescent="0.25">
      <c r="A41" s="120" t="s">
        <v>189</v>
      </c>
      <c r="B41" s="118">
        <v>6404988952</v>
      </c>
      <c r="C41" s="131">
        <f t="shared" si="0"/>
        <v>0.1532301109174643</v>
      </c>
      <c r="D41" s="118">
        <v>3439459636</v>
      </c>
      <c r="E41" s="117">
        <f t="shared" si="1"/>
        <v>0.13432184641711281</v>
      </c>
      <c r="F41" s="118">
        <v>3781256718</v>
      </c>
      <c r="G41" s="117">
        <f t="shared" si="2"/>
        <v>0.16700919536994835</v>
      </c>
      <c r="H41" s="118">
        <v>1599956499</v>
      </c>
      <c r="I41" s="117">
        <f t="shared" si="3"/>
        <v>9.1558156885839112E-2</v>
      </c>
      <c r="J41" s="118">
        <v>643052537</v>
      </c>
      <c r="K41" s="132">
        <f t="shared" si="4"/>
        <v>4.0131272139059024E-2</v>
      </c>
    </row>
    <row r="42" spans="1:11" x14ac:dyDescent="0.25">
      <c r="A42" s="56"/>
      <c r="B42" s="60"/>
      <c r="C42" s="128"/>
      <c r="D42" s="60"/>
      <c r="E42" s="114"/>
      <c r="F42" s="60"/>
      <c r="G42" s="114"/>
      <c r="H42" s="60"/>
      <c r="I42" s="114"/>
      <c r="J42" s="60"/>
      <c r="K42" s="129"/>
    </row>
    <row r="43" spans="1:11" x14ac:dyDescent="0.25">
      <c r="A43" s="71" t="s">
        <v>28</v>
      </c>
      <c r="B43" s="56"/>
      <c r="C43" s="128"/>
      <c r="D43" s="56"/>
      <c r="E43" s="114"/>
      <c r="F43" s="56"/>
      <c r="G43" s="114"/>
      <c r="H43" s="56"/>
      <c r="I43" s="114"/>
      <c r="J43" s="56"/>
      <c r="K43" s="129"/>
    </row>
    <row r="44" spans="1:11" x14ac:dyDescent="0.25">
      <c r="A44" s="72" t="s">
        <v>29</v>
      </c>
      <c r="B44" s="77">
        <v>1732056016</v>
      </c>
      <c r="C44" s="128">
        <f t="shared" si="0"/>
        <v>4.1436938835634901E-2</v>
      </c>
      <c r="D44" s="78">
        <v>1191426866</v>
      </c>
      <c r="E44" s="114">
        <f t="shared" si="1"/>
        <v>4.6529011370573928E-2</v>
      </c>
      <c r="F44" s="78">
        <v>496003486</v>
      </c>
      <c r="G44" s="114">
        <f t="shared" si="2"/>
        <v>2.1907304707246653E-2</v>
      </c>
      <c r="H44" s="78">
        <v>463465446</v>
      </c>
      <c r="I44" s="114">
        <f t="shared" si="3"/>
        <v>2.6521997343399894E-2</v>
      </c>
      <c r="J44" s="78">
        <v>615104317</v>
      </c>
      <c r="K44" s="129">
        <f t="shared" si="4"/>
        <v>3.8387094862572683E-2</v>
      </c>
    </row>
    <row r="45" spans="1:11" x14ac:dyDescent="0.25">
      <c r="A45" s="72" t="s">
        <v>30</v>
      </c>
      <c r="B45" s="80">
        <v>2982204</v>
      </c>
      <c r="C45" s="128">
        <f t="shared" si="0"/>
        <v>7.1344923952728414E-5</v>
      </c>
      <c r="D45" s="75">
        <v>2992760</v>
      </c>
      <c r="E45" s="114">
        <f t="shared" si="1"/>
        <v>1.1687680380828245E-4</v>
      </c>
      <c r="F45" s="75">
        <v>3037587</v>
      </c>
      <c r="G45" s="114">
        <f t="shared" si="2"/>
        <v>1.3416305703902099E-4</v>
      </c>
      <c r="H45" s="75">
        <v>3303075</v>
      </c>
      <c r="I45" s="114">
        <f t="shared" si="3"/>
        <v>1.8901980100378531E-4</v>
      </c>
      <c r="J45" s="75">
        <v>16127596</v>
      </c>
      <c r="K45" s="129">
        <f t="shared" si="4"/>
        <v>1.0064822184579917E-3</v>
      </c>
    </row>
    <row r="46" spans="1:11" x14ac:dyDescent="0.25">
      <c r="A46" s="72" t="s">
        <v>31</v>
      </c>
      <c r="B46" s="80">
        <v>5675118</v>
      </c>
      <c r="C46" s="128">
        <f t="shared" si="0"/>
        <v>1.3576900243335473E-4</v>
      </c>
      <c r="D46" s="75">
        <v>3318962</v>
      </c>
      <c r="E46" s="114">
        <f t="shared" si="1"/>
        <v>1.2961603019324795E-4</v>
      </c>
      <c r="F46" s="75">
        <v>2624330</v>
      </c>
      <c r="G46" s="114">
        <f t="shared" si="2"/>
        <v>1.1591046955337046E-4</v>
      </c>
      <c r="H46" s="89" t="s">
        <v>19</v>
      </c>
      <c r="I46" s="114" t="s">
        <v>19</v>
      </c>
      <c r="J46" s="57"/>
      <c r="K46" s="129">
        <f t="shared" si="4"/>
        <v>0</v>
      </c>
    </row>
    <row r="47" spans="1:11" x14ac:dyDescent="0.25">
      <c r="A47" s="72" t="s">
        <v>32</v>
      </c>
      <c r="B47" s="80">
        <v>251457149</v>
      </c>
      <c r="C47" s="128">
        <f t="shared" si="0"/>
        <v>6.0157491482054539E-3</v>
      </c>
      <c r="D47" s="75">
        <v>355511559</v>
      </c>
      <c r="E47" s="114">
        <f t="shared" si="1"/>
        <v>1.3883857954804136E-2</v>
      </c>
      <c r="F47" s="75">
        <v>321147389</v>
      </c>
      <c r="G47" s="114">
        <f t="shared" si="2"/>
        <v>1.4184323105260742E-2</v>
      </c>
      <c r="H47" s="75">
        <v>101322923</v>
      </c>
      <c r="I47" s="114">
        <f t="shared" si="3"/>
        <v>5.798245193518725E-3</v>
      </c>
      <c r="J47" s="75">
        <v>66546870</v>
      </c>
      <c r="K47" s="129">
        <f t="shared" si="4"/>
        <v>4.1530207818347865E-3</v>
      </c>
    </row>
    <row r="48" spans="1:11" x14ac:dyDescent="0.25">
      <c r="A48" s="72" t="s">
        <v>33</v>
      </c>
      <c r="B48" s="80">
        <v>16107717529</v>
      </c>
      <c r="C48" s="128">
        <f t="shared" si="0"/>
        <v>0.38535387993528797</v>
      </c>
      <c r="D48" s="75">
        <v>11584153072</v>
      </c>
      <c r="E48" s="114">
        <f t="shared" si="1"/>
        <v>0.45239804925261512</v>
      </c>
      <c r="F48" s="75">
        <v>9171452321</v>
      </c>
      <c r="G48" s="114">
        <f t="shared" si="2"/>
        <v>0.4050814284078067</v>
      </c>
      <c r="H48" s="75">
        <v>7540375822</v>
      </c>
      <c r="I48" s="114">
        <f t="shared" si="3"/>
        <v>0.43150105201007971</v>
      </c>
      <c r="J48" s="75">
        <v>7977002224</v>
      </c>
      <c r="K48" s="129">
        <f t="shared" si="4"/>
        <v>0.49782440576114712</v>
      </c>
    </row>
    <row r="49" spans="1:11" x14ac:dyDescent="0.25">
      <c r="A49" s="72" t="s">
        <v>34</v>
      </c>
      <c r="B49" s="80">
        <v>3193514</v>
      </c>
      <c r="C49" s="128">
        <f t="shared" si="0"/>
        <v>7.6400210539578624E-5</v>
      </c>
      <c r="D49" s="75">
        <v>54722832</v>
      </c>
      <c r="E49" s="114">
        <f t="shared" si="1"/>
        <v>2.137100769690052E-3</v>
      </c>
      <c r="F49" s="75">
        <v>830180982</v>
      </c>
      <c r="G49" s="114">
        <f t="shared" si="2"/>
        <v>3.6667136921766007E-2</v>
      </c>
      <c r="H49" s="75">
        <v>300000000</v>
      </c>
      <c r="I49" s="114">
        <f t="shared" si="3"/>
        <v>1.7167621171525198E-2</v>
      </c>
      <c r="J49" s="75">
        <v>37082301</v>
      </c>
      <c r="K49" s="129">
        <f t="shared" si="4"/>
        <v>2.3142120236647173E-3</v>
      </c>
    </row>
    <row r="50" spans="1:11" x14ac:dyDescent="0.25">
      <c r="A50" s="72" t="s">
        <v>35</v>
      </c>
      <c r="B50" s="80">
        <v>765722598</v>
      </c>
      <c r="C50" s="128">
        <f t="shared" si="0"/>
        <v>1.8318807339536676E-2</v>
      </c>
      <c r="D50" s="75">
        <v>816948215</v>
      </c>
      <c r="E50" s="114">
        <f t="shared" si="1"/>
        <v>3.1904428101846308E-2</v>
      </c>
      <c r="F50" s="75">
        <v>531372511</v>
      </c>
      <c r="G50" s="114">
        <f t="shared" si="2"/>
        <v>2.3469471163216332E-2</v>
      </c>
      <c r="H50" s="89" t="s">
        <v>19</v>
      </c>
      <c r="I50" s="114" t="e">
        <f t="shared" si="3"/>
        <v>#VALUE!</v>
      </c>
      <c r="J50" s="75">
        <v>31712571</v>
      </c>
      <c r="K50" s="129">
        <f t="shared" si="4"/>
        <v>1.9791008413830909E-3</v>
      </c>
    </row>
    <row r="51" spans="1:11" x14ac:dyDescent="0.25">
      <c r="A51" s="72" t="s">
        <v>36</v>
      </c>
      <c r="B51" s="82">
        <v>21153617</v>
      </c>
      <c r="C51" s="128">
        <f t="shared" si="0"/>
        <v>5.0606973774770033E-4</v>
      </c>
      <c r="D51" s="90" t="s">
        <v>19</v>
      </c>
      <c r="E51" s="114"/>
      <c r="F51" s="56"/>
      <c r="G51" s="114"/>
      <c r="H51" s="56"/>
      <c r="I51" s="114"/>
      <c r="J51" s="56"/>
      <c r="K51" s="129"/>
    </row>
    <row r="52" spans="1:11" x14ac:dyDescent="0.25">
      <c r="A52" s="72"/>
      <c r="B52" s="75"/>
      <c r="C52" s="128"/>
      <c r="D52" s="89"/>
      <c r="E52" s="114"/>
      <c r="F52" s="56"/>
      <c r="G52" s="114"/>
      <c r="H52" s="56"/>
      <c r="I52" s="114"/>
      <c r="J52" s="56"/>
      <c r="K52" s="129"/>
    </row>
    <row r="53" spans="1:11" s="119" customFormat="1" x14ac:dyDescent="0.25">
      <c r="A53" s="120" t="s">
        <v>128</v>
      </c>
      <c r="B53" s="118">
        <v>18889957745</v>
      </c>
      <c r="C53" s="131">
        <f t="shared" si="0"/>
        <v>0.45191495913333835</v>
      </c>
      <c r="D53" s="118">
        <v>14009074266</v>
      </c>
      <c r="E53" s="117">
        <f t="shared" si="1"/>
        <v>0.54709894028353101</v>
      </c>
      <c r="F53" s="118">
        <v>11355818606</v>
      </c>
      <c r="G53" s="117">
        <f t="shared" si="2"/>
        <v>0.50155973783188879</v>
      </c>
      <c r="H53" s="118">
        <v>8408467266</v>
      </c>
      <c r="I53" s="117">
        <f t="shared" si="3"/>
        <v>0.48117793551952737</v>
      </c>
      <c r="J53" s="118">
        <v>8743575879</v>
      </c>
      <c r="K53" s="132">
        <f t="shared" si="4"/>
        <v>0.54566431648906033</v>
      </c>
    </row>
    <row r="54" spans="1:11" x14ac:dyDescent="0.25">
      <c r="A54" s="57"/>
      <c r="B54" s="60"/>
      <c r="C54" s="128"/>
      <c r="D54" s="60"/>
      <c r="E54" s="114"/>
      <c r="F54" s="60"/>
      <c r="G54" s="114"/>
      <c r="H54" s="60"/>
      <c r="I54" s="114"/>
      <c r="J54" s="60"/>
      <c r="K54" s="129"/>
    </row>
    <row r="55" spans="1:11" s="119" customFormat="1" x14ac:dyDescent="0.25">
      <c r="A55" s="133" t="s">
        <v>187</v>
      </c>
      <c r="B55" s="116">
        <v>25294946697</v>
      </c>
      <c r="C55" s="131">
        <f t="shared" si="0"/>
        <v>0.60514507005080265</v>
      </c>
      <c r="D55" s="116">
        <v>17448533902</v>
      </c>
      <c r="E55" s="117">
        <f t="shared" si="1"/>
        <v>0.68142078670064388</v>
      </c>
      <c r="F55" s="116">
        <v>15137075324</v>
      </c>
      <c r="G55" s="117">
        <f t="shared" si="2"/>
        <v>0.66856893320183719</v>
      </c>
      <c r="H55" s="116">
        <v>10008423765</v>
      </c>
      <c r="I55" s="117">
        <f t="shared" si="3"/>
        <v>0.57273609240536649</v>
      </c>
      <c r="J55" s="116">
        <v>9386628416</v>
      </c>
      <c r="K55" s="132">
        <f t="shared" si="4"/>
        <v>0.58579558862811942</v>
      </c>
    </row>
    <row r="56" spans="1:11" x14ac:dyDescent="0.25">
      <c r="A56" s="57"/>
      <c r="B56" s="78"/>
      <c r="C56" s="128"/>
      <c r="D56" s="78"/>
      <c r="E56" s="114"/>
      <c r="F56" s="78"/>
      <c r="G56" s="114"/>
      <c r="H56" s="78"/>
      <c r="I56" s="114"/>
      <c r="J56" s="78"/>
      <c r="K56" s="129"/>
    </row>
    <row r="57" spans="1:11" s="138" customFormat="1" x14ac:dyDescent="0.25">
      <c r="A57" s="134" t="s">
        <v>188</v>
      </c>
      <c r="B57" s="86">
        <v>41799806276</v>
      </c>
      <c r="C57" s="135">
        <f t="shared" si="0"/>
        <v>1</v>
      </c>
      <c r="D57" s="86">
        <v>25606107478</v>
      </c>
      <c r="E57" s="136">
        <f t="shared" si="1"/>
        <v>1</v>
      </c>
      <c r="F57" s="86">
        <v>22641009135</v>
      </c>
      <c r="G57" s="136">
        <f t="shared" si="2"/>
        <v>1</v>
      </c>
      <c r="H57" s="86">
        <v>17474756520</v>
      </c>
      <c r="I57" s="136">
        <f t="shared" si="3"/>
        <v>1</v>
      </c>
      <c r="J57" s="86">
        <v>16023726703</v>
      </c>
      <c r="K57" s="137">
        <f t="shared" si="4"/>
        <v>1</v>
      </c>
    </row>
    <row r="58" spans="1:11" x14ac:dyDescent="0.25">
      <c r="A58" s="55"/>
    </row>
    <row r="59" spans="1:11" x14ac:dyDescent="0.25">
      <c r="A59" s="55"/>
    </row>
    <row r="60" spans="1:11" x14ac:dyDescent="0.25">
      <c r="A60" s="55"/>
    </row>
    <row r="61" spans="1:11" x14ac:dyDescent="0.25">
      <c r="A61" s="55"/>
    </row>
    <row r="62" spans="1:11" x14ac:dyDescent="0.25">
      <c r="A62" s="55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SOFP</vt:lpstr>
      <vt:lpstr>is ha</vt:lpstr>
      <vt:lpstr>is va</vt:lpstr>
      <vt:lpstr>IS</vt:lpstr>
      <vt:lpstr>Margins</vt:lpstr>
      <vt:lpstr>Sheet2</vt:lpstr>
      <vt:lpstr>SOCF</vt:lpstr>
      <vt:lpstr>Analysis</vt:lpstr>
      <vt:lpstr>BS Ha</vt:lpstr>
      <vt:lpstr>BS Va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Sheikh Usman</cp:lastModifiedBy>
  <dcterms:created xsi:type="dcterms:W3CDTF">2022-02-03T03:56:53Z</dcterms:created>
  <dcterms:modified xsi:type="dcterms:W3CDTF">2022-02-16T18:58:25Z</dcterms:modified>
</cp:coreProperties>
</file>