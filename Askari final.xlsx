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4"/>
  </bookViews>
  <sheets>
    <sheet name="Balance Sheet" sheetId="1" r:id="rId1"/>
    <sheet name="Income Statement" sheetId="2" r:id="rId2"/>
    <sheet name="Sheet1" sheetId="3" r:id="rId3" state="hidden"/>
    <sheet name="Profitability Ratios" sheetId="4" r:id="rId4"/>
    <sheet name="Risk Ratios" sheetId="5" r:id="rId5"/>
    <sheet name="CAMELS" sheetId="6" r:id="rId6"/>
    <sheet name="Graphs" sheetId="7" r:id="rId7"/>
  </sheets>
</workbook>
</file>

<file path=xl/sharedStrings.xml><?xml version="1.0" encoding="utf-8"?>
<sst xmlns="http://schemas.openxmlformats.org/spreadsheetml/2006/main" uniqueCount="256" count="256">
  <si>
    <t>Rupees in ‘000</t>
  </si>
  <si>
    <t>Assets</t>
  </si>
  <si>
    <t>Cash and balances with treasury banks</t>
  </si>
  <si>
    <t>Balances with other banks</t>
  </si>
  <si>
    <t>Lendings to financial institutions</t>
  </si>
  <si>
    <t>–</t>
  </si>
  <si>
    <t>Investments</t>
  </si>
  <si>
    <t>Advances</t>
  </si>
  <si>
    <t>Fixed assets</t>
  </si>
  <si>
    <t>Intangible assets</t>
  </si>
  <si>
    <t>Deferred tax assets</t>
  </si>
  <si>
    <t>Other assets</t>
  </si>
  <si>
    <t>Assets attributable to discontinued operations</t>
  </si>
  <si>
    <t>Total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</si>
  <si>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</si>
  <si>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</si>
  <si>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</si>
  <si>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</si>
  <si>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</si>
  <si>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debts</t>
  </si>
  <si>
    <t>Deferred tax liabilities</t>
  </si>
  <si>
    <t>Other liabilities</t>
  </si>
  <si>
    <t>Total Liabilites</t>
  </si>
  <si>
    <t>Liabilities associated with discontionued operations</t>
  </si>
  <si>
    <t>Net Assets</t>
  </si>
  <si>
    <t>Represented By</t>
  </si>
  <si>
    <t>Share capital</t>
  </si>
  <si>
    <t>Reserves</t>
  </si>
  <si>
    <t>Surplus on revaluation of assets - net of tax</t>
  </si>
  <si>
    <t>Continued operations</t>
  </si>
  <si>
    <t>Discontinued operations</t>
  </si>
  <si>
    <t>Unappropriated profit</t>
  </si>
  <si>
    <t>Non-controlling interest</t>
  </si>
  <si>
    <t>Equity Capital</t>
  </si>
  <si>
    <t xml:space="preserve">Mark-up / return / interest earned </t>
  </si>
  <si>
    <t xml:space="preserve">77,569,443
</t>
  </si>
  <si>
    <t xml:space="preserve">79,118,320
</t>
  </si>
  <si>
    <t>Mark-up / return / interest expenses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</si>
  <si>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</si>
  <si>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</si>
  <si>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</si>
  <si>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</si>
  <si>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</si>
  <si>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Income / (loss) from derivatives</t>
  </si>
  <si>
    <t>Gain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</si>
  <si>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</si>
  <si>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</si>
  <si>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</si>
  <si>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</si>
  <si>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</si>
  <si>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Workers’ welfare fund</t>
  </si>
  <si>
    <t>Total non-markup / interest expenses</t>
  </si>
  <si>
    <t>Profit before provisions</t>
  </si>
  <si>
    <t>Provisions and write offs - net</t>
  </si>
  <si>
    <t>Extraordinary / unusual items</t>
  </si>
  <si>
    <t>Profit before taxation</t>
  </si>
  <si>
    <t>Taxation</t>
  </si>
  <si>
    <t>Profit after taxation</t>
  </si>
  <si>
    <t>(Loss) / profit after taxation - discontinued operations</t>
  </si>
  <si>
    <t>Attributable to:</t>
  </si>
  <si>
    <t>Equity holders of the Bank</t>
  </si>
  <si>
    <t>Basic and diluted earnings per share</t>
  </si>
  <si>
    <t>Earning Assets</t>
  </si>
  <si>
    <t>Loans and Advances</t>
  </si>
  <si>
    <t>Lending to Financial Institutions - Net</t>
  </si>
  <si>
    <t xml:space="preserve">Balances with other banks </t>
  </si>
  <si>
    <t>TOTAL EARNING ASSETS</t>
  </si>
  <si>
    <t>Interest Bearing Liabilities</t>
  </si>
  <si>
    <t>Deposits (less of Current Accounts)</t>
  </si>
  <si>
    <t>Current Account Deposits</t>
  </si>
  <si>
    <t>Subordinated Debts</t>
  </si>
  <si>
    <t>Lease liability against ROU assets as per IFRS - 16 Leases</t>
  </si>
  <si>
    <t>Total Interest Bearing Liability</t>
  </si>
  <si>
    <t>Net Income</t>
  </si>
  <si>
    <t>Equity</t>
  </si>
  <si>
    <t>Total Operating Revenue</t>
  </si>
  <si>
    <t>Workings</t>
  </si>
  <si>
    <t>USE FOR NEXT RATIOS WHEN GIVEN</t>
  </si>
  <si>
    <t>Return on Equity</t>
  </si>
  <si>
    <t>ROE=(Net Income/ Pre-Tax Net Operating Income) * (Pre-Tax Net Operating Income/Total Operating Revenue) * (Total Operating Revenue/Total Assets) * (Total Assets/ TOtal Equity Capital )</t>
  </si>
  <si>
    <t>Credit Risk</t>
  </si>
  <si>
    <t>Nonperforming Loans/Total Loans</t>
  </si>
  <si>
    <t>Net Charge-Offs/Total Loans</t>
  </si>
  <si>
    <t>Provision for LOan Loses/Total Loans</t>
  </si>
  <si>
    <t>Provision for LOan Loses/Equity Capital</t>
  </si>
  <si>
    <t>Allowance for Loan Losses/ Toal Loans</t>
  </si>
  <si>
    <t>(Net Income/ Pre-Tax Net Operating Income)</t>
  </si>
  <si>
    <t>(Pre-Tax Net Operating Income/Total Operating Revenue)</t>
  </si>
  <si>
    <t>(Total Operating Revenue/Total Assets)</t>
  </si>
  <si>
    <t>(Total Assets/ TOtal Equity Capital )</t>
  </si>
  <si>
    <t xml:space="preserve">Market Risk Measures </t>
  </si>
  <si>
    <t>Book-Value of Assets/Market Value of Assets</t>
  </si>
  <si>
    <t>Book-Value of Equity/Market Value of Equity</t>
  </si>
  <si>
    <t>Market Value Per Share</t>
  </si>
  <si>
    <t>Number of Shares Outstanding</t>
  </si>
  <si>
    <t>Book Value of Shares</t>
  </si>
  <si>
    <t>Book-Value of Bonds/Market Value of Bonds</t>
  </si>
  <si>
    <t>Intrest Sensitive Assets/Intrest Sensitive Liabilities</t>
  </si>
  <si>
    <t>Intrest Sensitive Assets</t>
  </si>
  <si>
    <t>Intrest Sensitive Liabilitis</t>
  </si>
  <si>
    <t xml:space="preserve">Uninsured Deposits/Total Deposits </t>
  </si>
  <si>
    <t xml:space="preserve"> </t>
  </si>
  <si>
    <t>Uninsured Deposits</t>
  </si>
  <si>
    <t>Total Deposits</t>
  </si>
  <si>
    <t>Stock Price/Earnings Per Share</t>
  </si>
  <si>
    <t xml:space="preserve">Stock Price </t>
  </si>
  <si>
    <t>1. Capital Adequecy Ratio</t>
  </si>
  <si>
    <t>Earnings Per Share</t>
  </si>
  <si>
    <t>Ratios</t>
  </si>
  <si>
    <t xml:space="preserve">Income /expense ratio </t>
  </si>
  <si>
    <t>T</t>
  </si>
  <si>
    <t>ROE = NI/ Equity</t>
  </si>
  <si>
    <t>U</t>
  </si>
  <si>
    <t>ROA= NI/TA</t>
  </si>
  <si>
    <t>Gross spread ratio (NIM/Gross interest income)</t>
  </si>
  <si>
    <t>Net Interest Margin</t>
  </si>
  <si>
    <t>J</t>
  </si>
  <si>
    <t>Net non Interest Margin</t>
  </si>
  <si>
    <t>NOM(Net Operating Margin)=(TOR-TOE)/Total Assets</t>
  </si>
  <si>
    <t>A</t>
  </si>
  <si>
    <t>Earning Spread</t>
  </si>
  <si>
    <t>Total Interest Income</t>
  </si>
  <si>
    <t>Total Earning Asset</t>
  </si>
  <si>
    <t>Total Interest Expense</t>
  </si>
  <si>
    <t>Net Profit Margin = NI/ Total Operating Revenue</t>
  </si>
  <si>
    <t>Equity Multiplier =TA/Equity</t>
  </si>
  <si>
    <t>Asset Utilization= Total operating Revenue/TA</t>
  </si>
  <si>
    <t xml:space="preserve">Operating efficiency= Total operating expenses/ Total operating revenues </t>
  </si>
  <si>
    <t>Tax management effeciency = NI/EBT</t>
  </si>
  <si>
    <t>Z</t>
  </si>
  <si>
    <t>Asset management effeciency = Total operating revenue/Total assets</t>
  </si>
  <si>
    <t>Interest Rate Risk Measures</t>
  </si>
  <si>
    <t>Interest Sensitive Assets/ Interest Sensitive Liabilities</t>
  </si>
  <si>
    <t>Abd</t>
  </si>
  <si>
    <t>Uninsured Deposits/Total Deposits</t>
  </si>
  <si>
    <t>Capital Risk Measures</t>
  </si>
  <si>
    <t>Stock Price / Earnings Per Share</t>
  </si>
  <si>
    <t>Equity Capital/Total Assets</t>
  </si>
  <si>
    <t>Net Loans/Total Assets</t>
  </si>
  <si>
    <t xml:space="preserve">Net Loans </t>
  </si>
  <si>
    <t>Cash and Due From Banks/Total Assets</t>
  </si>
  <si>
    <t>Cash and Due From Banks</t>
  </si>
  <si>
    <t>Cash and Government Securities/Total Assets</t>
  </si>
  <si>
    <t>Cash and Government Securities</t>
  </si>
  <si>
    <t>Credit Risk Measures</t>
  </si>
  <si>
    <t>Provision for loan losses/ Equity Capital</t>
  </si>
  <si>
    <t>Provision for loan losses/ Total Loans</t>
  </si>
  <si>
    <t>Allowance for loan losses/ Total Loans</t>
  </si>
  <si>
    <t>Total Loans</t>
  </si>
  <si>
    <t>Other goals in banking</t>
  </si>
  <si>
    <t>employee productivity ratio (net income /no of emplyee)</t>
  </si>
  <si>
    <t>Capital risk measure</t>
  </si>
  <si>
    <t>Purchased funds/Total liabilties</t>
  </si>
  <si>
    <t>Equity capital /Risk Assets</t>
  </si>
  <si>
    <t>Allowance for Loan Losses / Equity Capital</t>
  </si>
  <si>
    <t>Purchased Funds</t>
  </si>
  <si>
    <t>Non Perfoming Loans / Equity Capital</t>
  </si>
  <si>
    <r>
      <rPr>
        <sz val="11"/>
        <color indexed="0"/>
        <rFont val="Calibri"/>
      </rPr>
      <t>Purchased Funds</t>
    </r>
    <r>
      <rPr>
        <sz val="11"/>
        <color indexed="0"/>
        <rFont val="Calibri"/>
      </rPr>
      <t xml:space="preserve"> / Total Assets</t>
    </r>
  </si>
  <si>
    <t>7,534 7,538 7,848</t>
  </si>
  <si>
    <t>Pr</t>
  </si>
  <si>
    <t>PROFITABILITY RATIOS</t>
  </si>
  <si>
    <t>Formula</t>
  </si>
  <si>
    <t>Return on Equity (ROE)</t>
  </si>
  <si>
    <t>Net income/Total equity</t>
  </si>
  <si>
    <t>Return on Assets (ROA)</t>
  </si>
  <si>
    <t>Net income/Total Asset</t>
  </si>
  <si>
    <t>(Interest income-Interest expense)/Total Assets</t>
  </si>
  <si>
    <t>(Non interest revenue-PLLL-Non interest expense)/Total Assets</t>
  </si>
  <si>
    <t>NOM(Net Operating Margin)</t>
  </si>
  <si>
    <t>Net Operating Revenue/Total Assets</t>
  </si>
  <si>
    <t>Earning Per Share</t>
  </si>
  <si>
    <t>NI/Total Shares Outstanding</t>
  </si>
  <si>
    <t>(Total Interest Income/Total Earning Assets-Total Interest Expense/Total Interest Bearing Liability</t>
  </si>
  <si>
    <t>NPM*EM*AU</t>
  </si>
  <si>
    <t>ROA = Net Profit Margin*Asset Utilization</t>
  </si>
  <si>
    <t>Total Interest bearing liablity</t>
  </si>
  <si>
    <t xml:space="preserve">Equity Multiplier </t>
  </si>
  <si>
    <t>Total Assets/Total Equity</t>
  </si>
  <si>
    <t>Net Profit Margin</t>
  </si>
  <si>
    <t>NI/Total OP Revenues</t>
  </si>
  <si>
    <t>Asset Utilization</t>
  </si>
  <si>
    <t>Total OP Revenues/Total Assets</t>
  </si>
  <si>
    <t>Expense Control Efficiency*Tax Management Efficiency*Asset Mangement Efficiency*Funds Management Efficiency</t>
  </si>
  <si>
    <t>Tax management efficiency</t>
  </si>
  <si>
    <t>Net Income/Pre-Tax Net Operating Income</t>
  </si>
  <si>
    <t>Total Earning Assets</t>
  </si>
  <si>
    <t>Expense control efficiency</t>
  </si>
  <si>
    <t>Pre-Tax Net Operating Income/ Total Operating Revenue</t>
  </si>
  <si>
    <t>Asset management efficiency</t>
  </si>
  <si>
    <t>Total Operating Revenue/ Total Assets</t>
  </si>
  <si>
    <t>Funds management efficiency</t>
  </si>
  <si>
    <t>Total Assets/Total Equity Capital</t>
  </si>
  <si>
    <t>Interest expense</t>
  </si>
  <si>
    <t>Total expenses</t>
  </si>
  <si>
    <t>total operating revenve</t>
  </si>
  <si>
    <t>Credit Risk Ratios</t>
  </si>
  <si>
    <t>Liquidity Risk Measures</t>
  </si>
  <si>
    <t>Purchased Funds / Total Assets</t>
  </si>
  <si>
    <t>Market Risk Measures</t>
  </si>
  <si>
    <t>Non Performing Loans</t>
  </si>
  <si>
    <t>Interest Sensitive Assets</t>
  </si>
  <si>
    <t>Interest Sensitive Liabilities</t>
  </si>
  <si>
    <r>
      <rPr>
        <b/>
        <sz val="11"/>
        <color indexed="0"/>
        <rFont val="Calibri"/>
      </rPr>
      <t>Provisions and write offs - net</t>
    </r>
    <r>
      <rPr>
        <b/>
        <sz val="12"/>
        <color indexed="0"/>
        <rFont val="Calibri"/>
      </rPr>
      <t xml:space="preserve"> (Charge Offs)</t>
    </r>
  </si>
  <si>
    <t>Proviison for Loan Losses</t>
  </si>
  <si>
    <t>Stock Price</t>
  </si>
  <si>
    <t>Allowance for loan losses</t>
  </si>
  <si>
    <t>Book Value of Equity</t>
  </si>
  <si>
    <t>No of Employees</t>
  </si>
  <si>
    <t>Market Value of Equity</t>
  </si>
  <si>
    <t>Interest Sensitive Assets/Interest Sensitive Liabilities</t>
  </si>
  <si>
    <t>Capital Adequacy</t>
  </si>
  <si>
    <t>Other Goals in Banking</t>
  </si>
  <si>
    <t>Operating Efficieny ratio</t>
  </si>
  <si>
    <t>Employee productivity ratio</t>
  </si>
  <si>
    <t>Book value of assets</t>
  </si>
  <si>
    <t>Market value of assets</t>
  </si>
  <si>
    <t>-----------</t>
  </si>
  <si>
    <t>1. Capital Adequacy</t>
  </si>
  <si>
    <t>CAMELS</t>
  </si>
  <si>
    <r>
      <rPr>
        <b/>
        <sz val="14"/>
        <color rgb="FFE36C09"/>
        <rFont val="Calibri"/>
      </rPr>
      <t>C</t>
    </r>
    <r>
      <rPr>
        <b/>
        <sz val="14"/>
        <rFont val="Calibri"/>
      </rPr>
      <t>apital Adequacy</t>
    </r>
  </si>
  <si>
    <t>Rank</t>
  </si>
  <si>
    <r>
      <rPr>
        <b/>
        <sz val="14"/>
        <color rgb="FFE36C09"/>
        <rFont val="Calibri"/>
      </rPr>
      <t>A</t>
    </r>
    <r>
      <rPr>
        <b/>
        <sz val="14"/>
        <rFont val="Calibri"/>
      </rPr>
      <t>sset Quality</t>
    </r>
  </si>
  <si>
    <t>Weight</t>
  </si>
  <si>
    <r>
      <rPr>
        <b/>
        <sz val="14"/>
        <color rgb="FFE36C09"/>
        <rFont val="Calibri"/>
      </rPr>
      <t>M</t>
    </r>
    <r>
      <rPr>
        <b/>
        <sz val="14"/>
        <rFont val="Calibri"/>
      </rPr>
      <t>anagement</t>
    </r>
  </si>
  <si>
    <t>Rank x Weight</t>
  </si>
  <si>
    <r>
      <rPr>
        <b/>
        <sz val="14"/>
        <color rgb="FFE36C09"/>
        <rFont val="Calibri"/>
      </rPr>
      <t>E</t>
    </r>
    <r>
      <rPr>
        <b/>
        <sz val="14"/>
        <rFont val="Calibri"/>
      </rPr>
      <t xml:space="preserve">arnings </t>
    </r>
  </si>
  <si>
    <r>
      <rPr>
        <b/>
        <sz val="14"/>
        <color rgb="FFE36C09"/>
        <rFont val="Calibri"/>
      </rPr>
      <t>L</t>
    </r>
    <r>
      <rPr>
        <b/>
        <sz val="14"/>
        <rFont val="Calibri"/>
      </rPr>
      <t>iquidity</t>
    </r>
  </si>
  <si>
    <t>2. Asset Quality</t>
  </si>
  <si>
    <r>
      <rPr>
        <b/>
        <sz val="14"/>
        <color rgb="FFE36C09"/>
        <rFont val="Calibri"/>
      </rPr>
      <t>S</t>
    </r>
    <r>
      <rPr>
        <b/>
        <sz val="14"/>
        <rFont val="Calibri"/>
      </rPr>
      <t>ensitivity</t>
    </r>
  </si>
  <si>
    <t>Total</t>
  </si>
  <si>
    <t>Avreage Rating</t>
  </si>
  <si>
    <t>3. Management</t>
  </si>
  <si>
    <t>Admin Exp</t>
  </si>
  <si>
    <t>NI</t>
  </si>
  <si>
    <t>Management</t>
  </si>
  <si>
    <t>-</t>
  </si>
  <si>
    <t>4. Earnings</t>
  </si>
  <si>
    <t>Unit of Mutual Funds</t>
  </si>
  <si>
    <t>1. Earnings (ROA)</t>
  </si>
  <si>
    <t>Commercial Paper</t>
  </si>
  <si>
    <t xml:space="preserve">Rank * Weight </t>
  </si>
  <si>
    <t>Total Securities</t>
  </si>
  <si>
    <t>2. Earnings (ROE)</t>
  </si>
  <si>
    <t>Rank x weight</t>
  </si>
  <si>
    <t>5. Liquidity</t>
  </si>
  <si>
    <t>advances</t>
  </si>
  <si>
    <t>1. Advances/Deposits</t>
  </si>
  <si>
    <t>total assets</t>
  </si>
  <si>
    <t xml:space="preserve">2. Circulating Assets/ Total Assets </t>
  </si>
  <si>
    <t>WORKING</t>
  </si>
  <si>
    <t>6. Sensitivity</t>
  </si>
  <si>
    <t xml:space="preserve">Rank </t>
  </si>
  <si>
    <t>Sensitivity</t>
  </si>
  <si>
    <t>Deposits</t>
  </si>
  <si>
    <t>Total non performing loans</t>
  </si>
  <si>
    <t>Provision</t>
  </si>
</sst>
</file>

<file path=xl/styles.xml><?xml version="1.0" encoding="utf-8"?>
<styleSheet xmlns="http://schemas.openxmlformats.org/spreadsheetml/2006/main">
  <numFmts count="10">
    <numFmt numFmtId="0" formatCode="General"/>
    <numFmt numFmtId="3" formatCode="#,##0"/>
    <numFmt numFmtId="2" formatCode="0.00"/>
    <numFmt numFmtId="4" formatCode="#,##0.00"/>
    <numFmt numFmtId="10" formatCode="0.00%"/>
    <numFmt numFmtId="164" formatCode="#,##0.00000000000"/>
    <numFmt numFmtId="165" formatCode="#,##0.000"/>
    <numFmt numFmtId="166" formatCode="0.000"/>
    <numFmt numFmtId="1" formatCode="0"/>
    <numFmt numFmtId="9" formatCode="0%"/>
  </numFmts>
  <fonts count="22">
    <font>
      <name val="Calibri"/>
      <sz val="11"/>
    </font>
    <font>
      <name val="Calibri"/>
      <b/>
      <sz val="11"/>
    </font>
    <font>
      <name val="Calibri"/>
      <sz val="11"/>
    </font>
    <font>
      <name val="Calibri"/>
      <b/>
      <sz val="11"/>
      <color indexed="0"/>
    </font>
    <font>
      <name val="Calibri"/>
      <sz val="11"/>
      <color indexed="0"/>
    </font>
    <font>
      <name val="Inconsolata"/>
      <sz val="11"/>
      <color rgb="FF000000"/>
    </font>
    <font>
      <name val="Roboto"/>
      <sz val="11"/>
      <color rgb="FF000000"/>
    </font>
    <font>
      <name val="Calibri"/>
      <sz val="11"/>
      <color rgb="FF000000"/>
    </font>
    <font>
      <name val="Times New Roman"/>
      <b/>
      <sz val="11"/>
      <color rgb="FF000000"/>
    </font>
    <font>
      <name val="Times New Roman"/>
      <sz val="11"/>
      <color rgb="FF000000"/>
    </font>
    <font>
      <name val="Calibri"/>
      <b/>
      <sz val="48"/>
      <color indexed="0"/>
    </font>
    <font>
      <name val="Calibri"/>
      <sz val="10"/>
    </font>
    <font>
      <name val="Calibri"/>
      <b/>
      <sz val="10"/>
    </font>
    <font>
      <name val="Calibri"/>
      <sz val="14"/>
    </font>
    <font>
      <name val="Calibri"/>
      <b/>
      <sz val="18"/>
      <color indexed="0"/>
    </font>
    <font>
      <name val="Calibri"/>
      <sz val="11"/>
    </font>
    <font>
      <name val="Calibri"/>
      <b/>
      <sz val="18"/>
    </font>
    <font>
      <name val="Calibri"/>
      <b/>
      <sz val="14"/>
      <color rgb="FFE36C09"/>
    </font>
    <font>
      <name val="Calibri"/>
      <b/>
      <sz val="14"/>
    </font>
    <font>
      <name val="Calibri"/>
      <b/>
      <sz val="14"/>
      <color indexed="0"/>
    </font>
    <font>
      <name val="Calibri"/>
      <b/>
      <sz val="11"/>
      <color rgb="FF000000"/>
    </font>
    <font>
      <name val="Calibri"/>
      <b/>
      <sz val="14"/>
      <color rgb="FF000000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D99594"/>
        <bgColor rgb="FFD99594"/>
      </patternFill>
    </fill>
    <fill>
      <patternFill patternType="solid">
        <fgColor rgb="FFDBE5F1"/>
        <bgColor rgb="FFDBE5F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3" fontId="2" fillId="0" borderId="0" xfId="0" applyNumberFormat="1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2" fontId="4" fillId="0" borderId="0" xfId="0" applyNumberFormat="1" applyFont="1" applyAlignment="1">
      <alignment vertical="bottom"/>
    </xf>
    <xf numFmtId="3" fontId="4" fillId="0" borderId="0" xfId="0" applyNumberFormat="1" applyFont="1" applyAlignment="1">
      <alignment vertical="bottom"/>
    </xf>
    <xf numFmtId="3" fontId="5" fillId="2" borderId="0" xfId="0" applyNumberFormat="1" applyFont="1" applyFill="1" applyBorder="1" applyAlignment="1">
      <alignment vertical="bottom"/>
    </xf>
    <xf numFmtId="3" fontId="6" fillId="2" borderId="0" xfId="0" applyNumberFormat="1" applyFont="1" applyBorder="1" applyAlignment="1">
      <alignment vertical="bottom"/>
    </xf>
    <xf numFmtId="0" fontId="4" fillId="0" borderId="0" xfId="0" applyFont="1" applyBorder="1" applyAlignment="1">
      <alignment vertical="bottom"/>
    </xf>
    <xf numFmtId="0" fontId="4" fillId="0" borderId="0" xfId="0" applyFont="1" applyBorder="1" applyAlignment="1">
      <alignment vertical="bottom"/>
    </xf>
    <xf numFmtId="0" fontId="4" fillId="0" borderId="0" xfId="0" applyFont="1" applyAlignment="1">
      <alignment horizontal="left" vertical="bottom"/>
    </xf>
    <xf numFmtId="0" fontId="7" fillId="2" borderId="0" xfId="0" applyFont="1" applyBorder="1" applyAlignment="1">
      <alignment vertical="bottom"/>
    </xf>
    <xf numFmtId="0" fontId="7" fillId="2" borderId="0" xfId="0" applyFont="1" applyBorder="1" applyAlignment="1">
      <alignment horizontal="left" vertical="bottom"/>
    </xf>
    <xf numFmtId="0" fontId="4" fillId="3" borderId="0" xfId="0" applyFont="1" applyFill="1" applyBorder="1" applyAlignment="1">
      <alignment vertical="bottom"/>
    </xf>
    <xf numFmtId="0" fontId="4" fillId="4" borderId="0" xfId="0" applyFont="1" applyFill="1" applyBorder="1" applyAlignment="1">
      <alignment vertical="bottom"/>
    </xf>
    <xf numFmtId="3" fontId="4" fillId="4" borderId="0" xfId="0" applyNumberFormat="1" applyFont="1" applyBorder="1" applyAlignment="1">
      <alignment vertical="bottom"/>
    </xf>
    <xf numFmtId="4" fontId="4" fillId="4" borderId="0" xfId="0" applyNumberFormat="1" applyFont="1" applyBorder="1" applyAlignment="1">
      <alignment vertical="bottom"/>
    </xf>
    <xf numFmtId="0" fontId="8" fillId="5" borderId="0" xfId="0" applyFont="1" applyFill="1" applyBorder="1" applyAlignment="1">
      <alignment vertical="bottom"/>
    </xf>
    <xf numFmtId="10" fontId="9" fillId="5" borderId="0" xfId="0" applyNumberFormat="1" applyFont="1" applyBorder="1" applyAlignment="1">
      <alignment horizontal="center" vertical="bottom"/>
    </xf>
    <xf numFmtId="0" fontId="3" fillId="0" borderId="0" xfId="0" applyFont="1" applyBorder="1" applyAlignment="1">
      <alignment vertical="bottom"/>
    </xf>
    <xf numFmtId="0" fontId="3" fillId="6" borderId="0" xfId="0" applyFont="1" applyFill="1" applyBorder="1" applyAlignment="1">
      <alignment vertical="bottom"/>
    </xf>
    <xf numFmtId="164" fontId="3" fillId="0" borderId="0" xfId="0" applyNumberFormat="1" applyFont="1" applyBorder="1" applyAlignment="1">
      <alignment vertical="bottom"/>
    </xf>
    <xf numFmtId="10" fontId="3" fillId="0" borderId="0" xfId="0" applyNumberFormat="1" applyFont="1" applyBorder="1" applyAlignment="1">
      <alignment vertical="bottom"/>
    </xf>
    <xf numFmtId="0" fontId="4" fillId="0" borderId="0" xfId="0" applyFont="1" applyBorder="1" applyAlignment="1">
      <alignment vertical="bottom"/>
    </xf>
    <xf numFmtId="0" fontId="4" fillId="6" borderId="0" xfId="0" applyFont="1" applyBorder="1" applyAlignment="1">
      <alignment vertical="bottom"/>
    </xf>
    <xf numFmtId="3" fontId="4" fillId="0" borderId="0" xfId="0" applyNumberFormat="1" applyFont="1" applyBorder="1" applyAlignment="1">
      <alignment vertical="bottom"/>
    </xf>
    <xf numFmtId="10" fontId="3" fillId="0" borderId="0" xfId="0" applyNumberFormat="1" applyFont="1" applyAlignment="1">
      <alignment vertical="bottom"/>
    </xf>
    <xf numFmtId="0" fontId="3" fillId="0" borderId="0" xfId="0" applyFont="1" applyBorder="1" applyAlignment="1">
      <alignment vertical="bottom"/>
    </xf>
    <xf numFmtId="0" fontId="4" fillId="0" borderId="0" xfId="0" applyFont="1" applyBorder="1" applyAlignment="1">
      <alignment vertical="bottom"/>
    </xf>
    <xf numFmtId="0" fontId="3" fillId="3" borderId="0" xfId="0" applyFont="1" applyBorder="1" applyAlignment="1">
      <alignment vertical="bottom"/>
    </xf>
    <xf numFmtId="165" fontId="3" fillId="3" borderId="0" xfId="0" applyNumberFormat="1" applyFont="1" applyBorder="1" applyAlignment="1">
      <alignment vertical="bottom"/>
    </xf>
    <xf numFmtId="166" fontId="3" fillId="3" borderId="0" xfId="0" applyNumberFormat="1" applyFont="1" applyBorder="1" applyAlignment="1">
      <alignment vertical="bottom"/>
    </xf>
    <xf numFmtId="0" fontId="4" fillId="7" borderId="0" xfId="0" applyFont="1" applyFill="1" applyBorder="1" applyAlignment="1">
      <alignment vertical="bottom"/>
    </xf>
    <xf numFmtId="10" fontId="4" fillId="7" borderId="0" xfId="0" applyNumberFormat="1" applyFont="1" applyBorder="1" applyAlignment="1">
      <alignment vertical="bottom"/>
    </xf>
    <xf numFmtId="10" fontId="4" fillId="0" borderId="0" xfId="0" applyNumberFormat="1" applyFont="1" applyAlignment="1">
      <alignment vertical="bottom"/>
    </xf>
    <xf numFmtId="0" fontId="3" fillId="5" borderId="0" xfId="0" applyFont="1" applyBorder="1" applyAlignment="1">
      <alignment vertical="bottom"/>
    </xf>
    <xf numFmtId="0" fontId="4" fillId="5" borderId="0" xfId="0" applyFont="1" applyBorder="1" applyAlignment="1">
      <alignment vertical="bottom"/>
    </xf>
    <xf numFmtId="0" fontId="10" fillId="0" borderId="0" xfId="0" applyFont="1" applyAlignment="1">
      <alignment horizontal="center" vertical="bottom"/>
    </xf>
    <xf numFmtId="0" fontId="4" fillId="8" borderId="0" xfId="0" applyFont="1" applyFill="1" applyBorder="1" applyAlignment="1">
      <alignment vertical="bottom"/>
    </xf>
    <xf numFmtId="0" fontId="11" fillId="9" borderId="1" xfId="0" applyFont="1" applyFill="1" applyBorder="1" applyAlignment="1">
      <alignment vertical="bottom"/>
    </xf>
    <xf numFmtId="0" fontId="12" fillId="9" borderId="1" xfId="0" applyFont="1" applyBorder="1" applyAlignment="1">
      <alignment horizontal="center" vertical="bottom"/>
    </xf>
    <xf numFmtId="0" fontId="4" fillId="9" borderId="0" xfId="0" applyFont="1" applyBorder="1" applyAlignment="1">
      <alignment vertical="bottom"/>
    </xf>
    <xf numFmtId="0" fontId="12" fillId="10" borderId="1" xfId="0" applyFont="1" applyFill="1" applyBorder="1" applyAlignment="1">
      <alignment horizontal="center" vertical="bottom"/>
    </xf>
    <xf numFmtId="10" fontId="11" fillId="10" borderId="1" xfId="0" applyNumberFormat="1" applyFont="1" applyBorder="1" applyAlignment="1">
      <alignment horizontal="center" vertical="bottom"/>
    </xf>
    <xf numFmtId="10" fontId="4" fillId="0" borderId="1" xfId="0" applyNumberFormat="1" applyFont="1" applyBorder="1" applyAlignment="1">
      <alignment vertical="bottom"/>
    </xf>
    <xf numFmtId="0" fontId="12" fillId="0" borderId="1" xfId="0" applyFont="1" applyBorder="1" applyAlignment="1">
      <alignment horizontal="center" vertical="bottom"/>
    </xf>
    <xf numFmtId="10" fontId="11" fillId="0" borderId="1" xfId="0" applyNumberFormat="1" applyFont="1" applyBorder="1" applyAlignment="1">
      <alignment horizontal="center" vertical="bottom"/>
    </xf>
    <xf numFmtId="10" fontId="4" fillId="0" borderId="1" xfId="0" applyNumberFormat="1" applyFont="1" applyBorder="1" applyAlignment="1">
      <alignment vertical="bottom"/>
    </xf>
    <xf numFmtId="0" fontId="11" fillId="11" borderId="1" xfId="0" applyFont="1" applyFill="1" applyBorder="1" applyAlignment="1">
      <alignment horizontal="center" vertical="bottom"/>
    </xf>
    <xf numFmtId="10" fontId="11" fillId="11" borderId="1" xfId="0" applyNumberFormat="1" applyFont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11" fillId="12" borderId="1" xfId="0" applyFont="1" applyFill="1" applyBorder="1" applyAlignment="1">
      <alignment horizontal="center" vertical="bottom"/>
    </xf>
    <xf numFmtId="10" fontId="11" fillId="12" borderId="1" xfId="0" applyNumberFormat="1" applyFont="1" applyBorder="1" applyAlignment="1">
      <alignment horizontal="center" vertical="bottom"/>
    </xf>
    <xf numFmtId="10" fontId="4" fillId="12" borderId="1" xfId="0" applyNumberFormat="1" applyFont="1" applyBorder="1" applyAlignment="1">
      <alignment vertical="bottom"/>
    </xf>
    <xf numFmtId="0" fontId="4" fillId="13" borderId="0" xfId="0" applyFont="1" applyFill="1" applyBorder="1" applyAlignment="1">
      <alignment vertical="bottom"/>
    </xf>
    <xf numFmtId="3" fontId="4" fillId="13" borderId="0" xfId="0" applyNumberFormat="1" applyFont="1" applyBorder="1" applyAlignment="1">
      <alignment vertical="bottom"/>
    </xf>
    <xf numFmtId="0" fontId="12" fillId="12" borderId="1" xfId="0" applyFont="1" applyBorder="1" applyAlignment="1">
      <alignment horizontal="center" vertical="bottom"/>
    </xf>
    <xf numFmtId="0" fontId="3" fillId="13" borderId="0" xfId="0" applyFont="1" applyBorder="1" applyAlignment="1">
      <alignment vertical="bottom"/>
    </xf>
    <xf numFmtId="10" fontId="13" fillId="12" borderId="1" xfId="0" applyNumberFormat="1" applyFont="1" applyBorder="1" applyAlignment="1">
      <alignment horizontal="center" vertical="bottom"/>
    </xf>
    <xf numFmtId="0" fontId="4" fillId="12" borderId="1" xfId="0" applyFont="1" applyBorder="1" applyAlignment="1">
      <alignment vertical="bottom"/>
    </xf>
    <xf numFmtId="10" fontId="13" fillId="0" borderId="0" xfId="0" applyNumberFormat="1" applyFont="1" applyAlignment="1">
      <alignment horizontal="center" vertical="bottom"/>
    </xf>
    <xf numFmtId="0" fontId="14" fillId="14" borderId="0" xfId="0" applyFont="1" applyFill="1" applyBorder="1" applyAlignment="1">
      <alignment horizontal="center" vertical="bottom"/>
    </xf>
    <xf numFmtId="0" fontId="15" fillId="0" borderId="0" xfId="0" applyFont="1" applyBorder="1" applyAlignment="1">
      <alignment vertical="bottom"/>
    </xf>
    <xf numFmtId="0" fontId="15" fillId="0" borderId="0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horizontal="center" vertical="bottom"/>
    </xf>
    <xf numFmtId="0" fontId="0" fillId="0" borderId="0" xfId="0" applyFill="1">
      <alignment vertical="center"/>
    </xf>
    <xf numFmtId="10" fontId="4" fillId="0" borderId="1" xfId="0" applyNumberFormat="1" applyFont="1" applyBorder="1" applyAlignment="1">
      <alignment horizontal="center" vertical="bottom"/>
    </xf>
    <xf numFmtId="0" fontId="4" fillId="0" borderId="1" xfId="0" applyFont="1" applyBorder="1" applyAlignment="1">
      <alignment horizontal="center" vertical="bottom"/>
    </xf>
    <xf numFmtId="0" fontId="14" fillId="14" borderId="2" xfId="0" applyFont="1" applyBorder="1" applyAlignment="1">
      <alignment horizontal="center" vertical="bottom"/>
    </xf>
    <xf numFmtId="0" fontId="15" fillId="0" borderId="3" xfId="0" applyFont="1" applyBorder="1" applyAlignment="1">
      <alignment vertical="bottom"/>
    </xf>
    <xf numFmtId="0" fontId="15" fillId="0" borderId="4" xfId="0" applyFont="1" applyBorder="1" applyAlignment="1">
      <alignment vertical="bottom"/>
    </xf>
    <xf numFmtId="2" fontId="4" fillId="0" borderId="1" xfId="0" applyNumberFormat="1" applyFont="1" applyBorder="1" applyAlignment="1">
      <alignment horizontal="center" vertical="bottom"/>
    </xf>
    <xf numFmtId="3" fontId="4" fillId="0" borderId="1" xfId="0" applyNumberFormat="1" applyFont="1" applyBorder="1" applyAlignment="1">
      <alignment vertical="bottom"/>
    </xf>
    <xf numFmtId="3" fontId="4" fillId="0" borderId="1" xfId="0" applyNumberFormat="1" applyFont="1" applyBorder="1" applyAlignment="1">
      <alignment horizontal="center" vertical="bottom"/>
    </xf>
    <xf numFmtId="3" fontId="4" fillId="5" borderId="1" xfId="0" applyNumberFormat="1" applyFont="1" applyBorder="1" applyAlignment="1">
      <alignment horizontal="center" vertical="bottom"/>
    </xf>
    <xf numFmtId="0" fontId="4" fillId="4" borderId="1" xfId="0" applyFont="1" applyBorder="1" applyAlignment="1">
      <alignment vertical="bottom"/>
    </xf>
    <xf numFmtId="3" fontId="4" fillId="4" borderId="1" xfId="0" applyNumberFormat="1" applyFont="1" applyBorder="1" applyAlignment="1">
      <alignment vertical="bottom"/>
    </xf>
    <xf numFmtId="3" fontId="4" fillId="4" borderId="1" xfId="0" applyNumberFormat="1" applyFont="1" applyBorder="1" applyAlignment="1">
      <alignment horizontal="center" vertical="bottom"/>
    </xf>
    <xf numFmtId="4" fontId="4" fillId="4" borderId="1" xfId="0" applyNumberFormat="1" applyFont="1" applyBorder="1" applyAlignment="1">
      <alignment vertical="bottom"/>
    </xf>
    <xf numFmtId="4" fontId="4" fillId="4" borderId="1" xfId="0" applyNumberFormat="1" applyFont="1" applyBorder="1" applyAlignment="1">
      <alignment horizontal="center" vertical="bottom"/>
    </xf>
    <xf numFmtId="0" fontId="4" fillId="4" borderId="1" xfId="0" applyFont="1" applyBorder="1" applyAlignment="1">
      <alignment horizontal="center" vertical="bottom"/>
    </xf>
    <xf numFmtId="0" fontId="14" fillId="14" borderId="5" xfId="0" applyFont="1" applyBorder="1" applyAlignment="1">
      <alignment horizontal="center" vertical="bottom"/>
    </xf>
    <xf numFmtId="0" fontId="1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1" fillId="0" borderId="1" xfId="0" applyFont="1" applyBorder="1" applyAlignment="1">
      <alignment horizontal="left" vertical="bottom"/>
    </xf>
    <xf numFmtId="166" fontId="2" fillId="0" borderId="1" xfId="0" applyNumberFormat="1" applyFont="1" applyBorder="1" applyAlignment="1">
      <alignment horizontal="center" vertical="bottom"/>
    </xf>
    <xf numFmtId="10" fontId="2" fillId="0" borderId="1" xfId="0" applyNumberFormat="1" applyFont="1" applyBorder="1" applyAlignment="1">
      <alignment horizontal="center" vertical="bottom"/>
    </xf>
    <xf numFmtId="0" fontId="4" fillId="0" borderId="1" xfId="0" applyFont="1" applyBorder="1" applyAlignment="1">
      <alignment horizontal="left" vertical="bottom"/>
    </xf>
    <xf numFmtId="0" fontId="2" fillId="0" borderId="1" xfId="0" applyFont="1" applyBorder="1" applyAlignment="1">
      <alignment vertical="bottom"/>
    </xf>
    <xf numFmtId="0" fontId="16" fillId="14" borderId="5" xfId="0" applyFont="1" applyBorder="1" applyAlignment="1">
      <alignment horizontal="center" vertical="bottom"/>
    </xf>
    <xf numFmtId="0" fontId="3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center" vertical="bottom"/>
    </xf>
    <xf numFmtId="2" fontId="4" fillId="0" borderId="1" xfId="0" applyNumberFormat="1" applyFont="1" applyBorder="1" applyAlignment="1">
      <alignment horizontal="center" vertical="bottom"/>
    </xf>
    <xf numFmtId="10" fontId="4" fillId="0" borderId="1" xfId="0" applyNumberFormat="1" applyFont="1" applyBorder="1" applyAlignment="1">
      <alignment horizontal="center" vertical="bottom"/>
    </xf>
    <xf numFmtId="10" fontId="1" fillId="0" borderId="1" xfId="0" applyNumberFormat="1" applyFont="1" applyBorder="1" applyAlignment="1">
      <alignment horizontal="left" vertical="bottom"/>
    </xf>
    <xf numFmtId="0" fontId="4" fillId="0" borderId="0" xfId="0" applyFont="1" applyAlignment="1" quotePrefix="1">
      <alignment vertical="bottom"/>
    </xf>
    <xf numFmtId="0" fontId="4" fillId="14" borderId="0" xfId="0" applyFont="1" applyBorder="1" applyAlignment="1">
      <alignment vertical="bottom"/>
    </xf>
    <xf numFmtId="10" fontId="4" fillId="14" borderId="0" xfId="0" applyNumberFormat="1" applyFont="1" applyBorder="1" applyAlignment="1">
      <alignment vertical="bottom"/>
    </xf>
    <xf numFmtId="0" fontId="17" fillId="0" borderId="1" xfId="0" applyFont="1" applyBorder="1" applyAlignment="1">
      <alignment horizontal="center" vertical="bottom"/>
    </xf>
    <xf numFmtId="0" fontId="18" fillId="15" borderId="1" xfId="0" applyFont="1" applyFill="1" applyBorder="1" applyAlignment="1">
      <alignment horizontal="center" vertical="bottom"/>
    </xf>
    <xf numFmtId="0" fontId="18" fillId="0" borderId="1" xfId="0" applyFont="1" applyBorder="1" applyAlignment="1">
      <alignment horizontal="center" vertical="bottom"/>
    </xf>
    <xf numFmtId="0" fontId="8" fillId="0" borderId="0" xfId="0" applyFont="1" applyAlignment="1">
      <alignment horizontal="center" vertical="bottom"/>
    </xf>
    <xf numFmtId="10" fontId="13" fillId="0" borderId="1" xfId="0" applyNumberFormat="1" applyFont="1" applyBorder="1" applyAlignment="1">
      <alignment horizontal="center" vertical="bottom"/>
    </xf>
    <xf numFmtId="2" fontId="13" fillId="0" borderId="1" xfId="0" applyNumberFormat="1" applyFont="1" applyBorder="1" applyAlignment="1">
      <alignment horizontal="center" vertical="bottom"/>
    </xf>
    <xf numFmtId="0" fontId="13" fillId="0" borderId="1" xfId="0" applyFont="1" applyBorder="1" applyAlignment="1">
      <alignment horizontal="center" vertical="bottom"/>
    </xf>
    <xf numFmtId="1" fontId="13" fillId="0" borderId="1" xfId="0" applyNumberFormat="1" applyFont="1" applyBorder="1" applyAlignment="1">
      <alignment horizontal="center" vertical="bottom"/>
    </xf>
    <xf numFmtId="2" fontId="18" fillId="0" borderId="1" xfId="0" applyNumberFormat="1" applyFont="1" applyBorder="1" applyAlignment="1">
      <alignment horizontal="center" vertical="bottom"/>
    </xf>
    <xf numFmtId="0" fontId="4" fillId="0" borderId="0" xfId="0" applyFont="1" applyAlignment="1">
      <alignment horizontal="center" vertical="bottom"/>
    </xf>
    <xf numFmtId="0" fontId="18" fillId="0" borderId="0" xfId="0" applyFont="1" applyAlignment="1">
      <alignment horizontal="center" vertical="bottom"/>
    </xf>
    <xf numFmtId="2" fontId="19" fillId="0" borderId="0" xfId="0" applyNumberFormat="1" applyFont="1" applyAlignment="1">
      <alignment horizontal="center" vertical="bottom"/>
    </xf>
    <xf numFmtId="0" fontId="20" fillId="0" borderId="0" xfId="0" applyFont="1" applyAlignment="1">
      <alignment horizontal="center" vertical="bottom"/>
    </xf>
    <xf numFmtId="0" fontId="7" fillId="0" borderId="0" xfId="0" applyFont="1" applyAlignment="1">
      <alignment horizontal="center" vertical="bottom"/>
    </xf>
    <xf numFmtId="3" fontId="4" fillId="5" borderId="0" xfId="0" applyNumberFormat="1" applyFont="1" applyBorder="1" applyAlignment="1">
      <alignment vertical="bottom"/>
    </xf>
    <xf numFmtId="0" fontId="21" fillId="0" borderId="0" xfId="0" applyFont="1" applyAlignment="1">
      <alignment horizontal="center" vertical="bottom"/>
    </xf>
    <xf numFmtId="9" fontId="13" fillId="0" borderId="1" xfId="0" applyNumberFormat="1" applyFont="1" applyBorder="1" applyAlignment="1">
      <alignment horizontal="center" vertical="bottom"/>
    </xf>
    <xf numFmtId="0" fontId="3" fillId="0" borderId="0" xfId="0" applyFont="1" applyAlignment="1">
      <alignment horizontal="center" vertical="bottom"/>
    </xf>
    <xf numFmtId="0" fontId="8" fillId="0" borderId="0" xfId="0" applyFont="1" applyAlignment="1">
      <alignment vertical="bottom"/>
    </xf>
    <xf numFmtId="0" fontId="9" fillId="0" borderId="0" xfId="0" applyFont="1" applyAlignment="1">
      <alignment vertical="bottom"/>
    </xf>
    <xf numFmtId="10" fontId="9" fillId="0" borderId="0" xfId="0" applyNumberFormat="1" applyFont="1" applyAlignment="1">
      <alignment horizontal="center" vertical="bottom"/>
    </xf>
    <xf numFmtId="0" fontId="9" fillId="0" borderId="0" xfId="0" applyFont="1" applyAlignment="1">
      <alignment horizontal="center" vertical="bottom"/>
    </xf>
    <xf numFmtId="3" fontId="7" fillId="0" borderId="0" xfId="0" applyNumberFormat="1" applyFont="1" applyAlignment="1">
      <alignment horizontal="center"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lineChart>
        <c:varyColors val="0"/>
        <c:ser>
          <c:idx val="0"/>
          <c:order val="0"/>
          <c:tx>
            <c:v>Uninsured Deposits/Total Deposits </c:v>
          </c:tx>
          <c:spPr>
            <a:ln w="19050"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'Risk Ratios'!$B$65:$F$65</c:f>
              <c:numCache>
                <c:formatCode>0.00%</c:formatCode>
                <c:ptCount val="5"/>
                <c:pt idx="0">
                  <c:v>0.601503523630383</c:v>
                </c:pt>
                <c:pt idx="1">
                  <c:v>0.9545793383865</c:v>
                </c:pt>
                <c:pt idx="2">
                  <c:v>0.573882568784985</c:v>
                </c:pt>
                <c:pt idx="3">
                  <c:v>0.547486135524973</c:v>
                </c:pt>
                <c:pt idx="4">
                  <c:v>0.547932238073348</c:v>
                </c:pt>
              </c:numCache>
            </c:numRef>
          </c:val>
          <c:smooth val="0"/>
        </c:ser>
        <c:smooth val="0"/>
        <c:axId val="1603711067"/>
        <c:axId val="1450357761"/>
      </c:lineChart>
      <c:catAx>
        <c:axId val="1603711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450357761"/>
      </c:catAx>
      <c:valAx>
        <c:axId val="14503577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603711067"/>
        <c:crossBetween val="between"/>
      </c:valAx>
      <c:spPr>
        <a:solidFill>
          <a:srgbClr val="000000"/>
        </a:solidFill>
      </c:spPr>
    </c:plotArea>
    <c:plotVisOnly val="1"/>
  </c:chart>
  <c:spPr>
    <a:solidFill>
      <a:srgbClr val="FFFFFF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barChart>
        <c:barDir val="bar"/>
        <c:ser>
          <c:idx val="0"/>
          <c:order val="0"/>
          <c:tx>
            <c:v>Employee productivity ratio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'Risk Ratios'!$B$66:$F$66</c:f>
              <c:numCache>
                <c:formatCode>General</c:formatCode>
                <c:ptCount val="5"/>
                <c:pt idx="0">
                  <c:v>1299.24217705269</c:v>
                </c:pt>
                <c:pt idx="1">
                  <c:v>1417.73269783233</c:v>
                </c:pt>
                <c:pt idx="2">
                  <c:v>931.497345367666</c:v>
                </c:pt>
                <c:pt idx="3">
                  <c:v>587.858583178562</c:v>
                </c:pt>
                <c:pt idx="4">
                  <c:v>652.610346585117</c:v>
                </c:pt>
              </c:numCache>
            </c:numRef>
          </c:val>
        </c:ser>
        <c:axId val="835470911"/>
        <c:axId val="1734287227"/>
      </c:barChart>
      <c:catAx>
        <c:axId val="8354709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734287227"/>
      </c:catAx>
      <c:valAx>
        <c:axId val="17342872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835470911"/>
        <c:crosses val="max"/>
        <c:crossBetween val="between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barChart>
        <c:barDir val="col"/>
        <c:ser>
          <c:idx val="0"/>
          <c:order val="0"/>
          <c:tx>
            <c:v>Nonperforming Loans/Total Loans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'Risk Ratios'!$B$64:$F$64</c:f>
              <c:numCache>
                <c:formatCode>0.00%</c:formatCode>
                <c:ptCount val="5"/>
                <c:pt idx="0">
                  <c:v>0.0652440593557323</c:v>
                </c:pt>
                <c:pt idx="1">
                  <c:v>0.0726738295945014</c:v>
                </c:pt>
                <c:pt idx="2">
                  <c:v>0.0754385135276851</c:v>
                </c:pt>
                <c:pt idx="3">
                  <c:v>0.0776931819493693</c:v>
                </c:pt>
                <c:pt idx="4">
                  <c:v>0.103416088205774</c:v>
                </c:pt>
              </c:numCache>
            </c:numRef>
          </c:val>
        </c:ser>
        <c:axId val="222536360"/>
        <c:axId val="1851407709"/>
      </c:barChart>
      <c:catAx>
        <c:axId val="222536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851407709"/>
      </c:catAx>
      <c:valAx>
        <c:axId val="1851407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222536360"/>
        <c:crossBetween val="between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lineChart>
        <c:varyColors val="0"/>
        <c:ser>
          <c:idx val="0"/>
          <c:order val="0"/>
          <c:tx>
            <c:v>Earning Spread</c:v>
          </c:tx>
          <c:spPr>
            <a:ln w="28575"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'Profitability Ratios'!$E$2:$I$2</c:f>
              <c:numCache>
                <c:formatCode>General</c:formatCode>
                <c:ptCount val="5"/>
                <c:pt idx="0">
                  <c:v>2021.0</c:v>
                </c:pt>
                <c:pt idx="1">
                  <c:v>2020.0</c:v>
                </c:pt>
                <c:pt idx="2">
                  <c:v>2019.0</c:v>
                </c:pt>
                <c:pt idx="3">
                  <c:v>2018.0</c:v>
                </c:pt>
                <c:pt idx="4">
                  <c:v>2017.0</c:v>
                </c:pt>
              </c:numCache>
            </c:numRef>
          </c:cat>
          <c:val>
            <c:numRef>
              <c:f>'Profitability Ratios'!$E$10:$I$10</c:f>
              <c:numCache>
                <c:formatCode>0.00%</c:formatCode>
                <c:ptCount val="5"/>
                <c:pt idx="0">
                  <c:v>0.0451469941578754</c:v>
                </c:pt>
                <c:pt idx="1">
                  <c:v>0.0556200827581193</c:v>
                </c:pt>
                <c:pt idx="2">
                  <c:v>0.0626438539451299</c:v>
                </c:pt>
                <c:pt idx="3">
                  <c:v>0.0342600922768363</c:v>
                </c:pt>
                <c:pt idx="4">
                  <c:v>0.0266745805972658</c:v>
                </c:pt>
              </c:numCache>
            </c:numRef>
          </c:val>
          <c:smooth val="0"/>
        </c:ser>
        <c:smooth val="0"/>
        <c:axId val="137505188"/>
        <c:axId val="1566259284"/>
      </c:lineChart>
      <c:catAx>
        <c:axId val="137505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566259284"/>
      </c:catAx>
      <c:valAx>
        <c:axId val="1566259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37505188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Return on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numRef>
              <c:f>'Profitability Ratios'!$E$2:$I$2</c:f>
              <c:numCache>
                <c:formatCode>General</c:formatCode>
                <c:ptCount val="5"/>
                <c:pt idx="0">
                  <c:v>2021.0</c:v>
                </c:pt>
                <c:pt idx="1">
                  <c:v>2020.0</c:v>
                </c:pt>
                <c:pt idx="2">
                  <c:v>2019.0</c:v>
                </c:pt>
                <c:pt idx="3">
                  <c:v>2018.0</c:v>
                </c:pt>
                <c:pt idx="4">
                  <c:v>2017.0</c:v>
                </c:pt>
              </c:numCache>
            </c:numRef>
          </c:cat>
          <c:val>
            <c:numRef>
              <c:f>'Profitability Ratios'!$E$4:$I$4</c:f>
              <c:numCache>
                <c:formatCode>0.00%</c:formatCode>
                <c:ptCount val="5"/>
                <c:pt idx="0">
                  <c:v>0.173368725602959</c:v>
                </c:pt>
                <c:pt idx="1">
                  <c:v>0.19855054586785</c:v>
                </c:pt>
                <c:pt idx="2">
                  <c:v>0.16550801169836</c:v>
                </c:pt>
                <c:pt idx="3">
                  <c:v>0.131881856864574</c:v>
                </c:pt>
                <c:pt idx="4">
                  <c:v>0.15737129698491</c:v>
                </c:pt>
              </c:numCache>
            </c:numRef>
          </c:val>
        </c:ser>
        <c:axId val="1682219095"/>
        <c:axId val="119399143"/>
      </c:barChart>
      <c:catAx>
        <c:axId val="1682219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19399143"/>
      </c:catAx>
      <c:valAx>
        <c:axId val="11939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</a:p>
        </c:txPr>
        <c:crossAx val="1682219095"/>
        <c:crossBetween val="between"/>
      </c:valAx>
    </c:plotArea>
    <c:plotVisOnly val="1"/>
  </c:chart>
</c:chartSpace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13</xdr:col>
      <xdr:colOff>406874</xdr:colOff>
      <xdr:row>28</xdr:row>
      <xdr:rowOff>57038</xdr:rowOff>
    </xdr:to>
    <xdr:pic>
      <xdr:nvPicPr>
        <xdr:cNvPr id="2" name="image1.pn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33639" y="2095236"/>
          <a:ext cx="8974595" cy="336178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542409</xdr:colOff>
      <xdr:row>0</xdr:row>
      <xdr:rowOff>0</xdr:rowOff>
    </xdr:from>
    <xdr:to>
      <xdr:col>12</xdr:col>
      <xdr:colOff>480133</xdr:colOff>
      <xdr:row>15</xdr:row>
      <xdr:rowOff>142875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645534</xdr:colOff>
      <xdr:row>15</xdr:row>
      <xdr:rowOff>142875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380356</xdr:colOff>
      <xdr:row>0</xdr:row>
      <xdr:rowOff>12650</xdr:rowOff>
    </xdr:from>
    <xdr:to>
      <xdr:col>20</xdr:col>
      <xdr:colOff>318079</xdr:colOff>
      <xdr:row>15</xdr:row>
      <xdr:rowOff>155525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15</xdr:row>
      <xdr:rowOff>139154</xdr:rowOff>
    </xdr:from>
    <xdr:to>
      <xdr:col>4</xdr:col>
      <xdr:colOff>645534</xdr:colOff>
      <xdr:row>30</xdr:row>
      <xdr:rowOff>186742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504240</xdr:colOff>
      <xdr:row>15</xdr:row>
      <xdr:rowOff>113853</xdr:rowOff>
    </xdr:from>
    <xdr:to>
      <xdr:col>12</xdr:col>
      <xdr:colOff>441963</xdr:colOff>
      <xdr:row>30</xdr:row>
      <xdr:rowOff>46880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28"/>
  <sheetViews>
    <sheetView workbookViewId="0" zoomScale="89">
      <selection activeCell="A1" sqref="A1"/>
    </sheetView>
  </sheetViews>
  <sheetFormatPr defaultRowHeight="15.0" customHeight="1" defaultColWidth="14"/>
  <cols>
    <col min="1" max="1" customWidth="1" width="44.566406" style="0"/>
    <col min="2" max="2" customWidth="1" width="14.0" style="0"/>
    <col min="3" max="3" customWidth="1" width="12.2890625" style="0"/>
    <col min="4" max="4" customWidth="1" width="14.0" style="0"/>
    <col min="5" max="6" customWidth="1" width="12.2890625" style="0"/>
    <col min="7" max="8" customWidth="1" width="8.707031" style="0"/>
    <col min="9" max="9" customWidth="1" width="18.429688" style="0"/>
    <col min="10" max="13" customWidth="1" width="8.707031" style="0"/>
    <col min="14" max="14" customWidth="1" width="11.0" style="0"/>
  </cols>
  <sheetData>
    <row r="1" spans="8:8" ht="15.0">
      <c r="A1" s="1" t="s">
        <v>0</v>
      </c>
      <c r="B1" s="1">
        <v>2021.0</v>
      </c>
      <c r="C1" s="1">
        <v>2020.0</v>
      </c>
      <c r="D1" s="1">
        <v>2019.0</v>
      </c>
      <c r="E1" s="1">
        <v>2018.0</v>
      </c>
      <c r="F1" s="1">
        <v>2017.0</v>
      </c>
      <c r="G1" s="2"/>
      <c r="H1" s="2"/>
      <c r="I1" s="2"/>
      <c r="J1" s="2"/>
      <c r="K1" s="2"/>
      <c r="L1" s="2"/>
      <c r="M1" s="2"/>
      <c r="N1" s="2"/>
    </row>
    <row r="2" spans="8:8" ht="15.0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8:8" ht="15.0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8:8" ht="15.0">
      <c r="A4" s="1" t="s">
        <v>2</v>
      </c>
      <c r="B4" s="3">
        <v>8.9432245E7</v>
      </c>
      <c r="C4" s="3">
        <v>7.3651718E7</v>
      </c>
      <c r="D4" s="3">
        <v>6.303929E7</v>
      </c>
      <c r="E4" s="3">
        <v>4.9187645E7</v>
      </c>
      <c r="F4" s="3">
        <v>4.4239325E7</v>
      </c>
      <c r="G4" s="2"/>
      <c r="H4" s="2"/>
      <c r="I4" s="2"/>
      <c r="J4" s="2"/>
      <c r="K4" s="2"/>
      <c r="L4" s="2"/>
      <c r="M4" s="2"/>
      <c r="N4" s="2"/>
    </row>
    <row r="5" spans="8:8" ht="15.0">
      <c r="A5" s="1" t="s">
        <v>3</v>
      </c>
      <c r="B5" s="3">
        <v>3556215.0</v>
      </c>
      <c r="C5" s="3">
        <v>8196147.0</v>
      </c>
      <c r="D5" s="3">
        <v>7886702.0</v>
      </c>
      <c r="E5" s="3">
        <v>4093402.0</v>
      </c>
      <c r="F5" s="3">
        <v>3193835.0</v>
      </c>
      <c r="G5" s="2"/>
      <c r="H5" s="2"/>
      <c r="I5" s="2"/>
      <c r="J5" s="2"/>
      <c r="K5" s="2"/>
      <c r="L5" s="2"/>
      <c r="M5" s="2"/>
      <c r="N5" s="2"/>
    </row>
    <row r="6" spans="8:8" ht="15.0">
      <c r="A6" s="1" t="s">
        <v>4</v>
      </c>
      <c r="B6" s="2" t="s">
        <v>5</v>
      </c>
      <c r="C6" s="2" t="s">
        <v>5</v>
      </c>
      <c r="D6" s="3">
        <v>2.0405972E7</v>
      </c>
      <c r="E6" s="2" t="s">
        <v>5</v>
      </c>
      <c r="F6" s="3">
        <v>2250000.0</v>
      </c>
      <c r="G6" s="2"/>
      <c r="H6" s="2"/>
      <c r="I6" s="2"/>
      <c r="J6" s="2"/>
      <c r="K6" s="2"/>
      <c r="L6" s="2"/>
      <c r="M6" s="2"/>
      <c r="N6" s="2"/>
    </row>
    <row r="7" spans="8:8" ht="15.0">
      <c r="A7" s="1" t="s">
        <v>6</v>
      </c>
      <c r="B7" s="3">
        <v>6.16231172E8</v>
      </c>
      <c r="C7" s="3">
        <v>4.49611987E8</v>
      </c>
      <c r="D7" s="3">
        <v>3.05435633E8</v>
      </c>
      <c r="E7" s="3">
        <v>2.60233987E8</v>
      </c>
      <c r="F7" s="3">
        <v>3.14956748E8</v>
      </c>
      <c r="G7" s="2"/>
      <c r="H7" s="2"/>
      <c r="I7" s="2"/>
      <c r="J7" s="2"/>
      <c r="K7" s="2"/>
      <c r="L7" s="2"/>
      <c r="M7" s="2"/>
      <c r="N7" s="2"/>
    </row>
    <row r="8" spans="8:8" ht="15.0">
      <c r="A8" s="1" t="s">
        <v>7</v>
      </c>
      <c r="B8" s="3">
        <v>4.77673022E8</v>
      </c>
      <c r="C8" s="3">
        <v>3.95416055E8</v>
      </c>
      <c r="D8" s="3">
        <v>3.72913863E8</v>
      </c>
      <c r="E8" s="3">
        <v>3.43107147E8</v>
      </c>
      <c r="F8" s="3">
        <v>2.58693086E8</v>
      </c>
      <c r="G8" s="2"/>
      <c r="H8" s="2"/>
      <c r="I8" s="2"/>
      <c r="J8" s="2"/>
      <c r="K8" s="2"/>
      <c r="L8" s="2"/>
      <c r="M8" s="2"/>
      <c r="N8" s="2"/>
    </row>
    <row r="9" spans="8:8" ht="15.0">
      <c r="A9" s="1" t="s">
        <v>8</v>
      </c>
      <c r="B9" s="3">
        <v>2.0179222E7</v>
      </c>
      <c r="C9" s="3">
        <v>2.123275E7</v>
      </c>
      <c r="D9" s="3">
        <v>1.9696568E7</v>
      </c>
      <c r="E9" s="3">
        <v>1.2791827E7</v>
      </c>
      <c r="F9" s="3">
        <v>9885958.0</v>
      </c>
      <c r="G9" s="2"/>
      <c r="H9" s="2"/>
      <c r="I9" s="2"/>
      <c r="J9" s="2"/>
      <c r="K9" s="2"/>
      <c r="L9" s="2"/>
      <c r="M9" s="2"/>
      <c r="N9" s="2"/>
    </row>
    <row r="10" spans="8:8" ht="15.0">
      <c r="A10" s="1" t="s">
        <v>9</v>
      </c>
      <c r="B10" s="3">
        <v>1188985.0</v>
      </c>
      <c r="C10" s="3">
        <v>1158857.0</v>
      </c>
      <c r="D10" s="3">
        <v>808994.0</v>
      </c>
      <c r="E10" s="3">
        <v>741361.0</v>
      </c>
      <c r="F10" s="3">
        <v>842869.0</v>
      </c>
      <c r="G10" s="2"/>
      <c r="H10" s="2"/>
      <c r="I10" s="2"/>
      <c r="J10" s="2"/>
      <c r="K10" s="2"/>
      <c r="L10" s="2"/>
      <c r="M10" s="2"/>
      <c r="N10" s="2"/>
    </row>
    <row r="11" spans="8:8" ht="15.0">
      <c r="A11" s="1" t="s">
        <v>10</v>
      </c>
      <c r="B11" s="3">
        <v>5161697.0</v>
      </c>
      <c r="C11" s="3">
        <v>1597334.0</v>
      </c>
      <c r="D11" s="3">
        <v>2489752.0</v>
      </c>
      <c r="E11" s="3">
        <v>3773779.0</v>
      </c>
      <c r="F11" s="3">
        <v>100755.0</v>
      </c>
      <c r="G11" s="2"/>
      <c r="H11" s="2"/>
      <c r="I11" s="2"/>
      <c r="J11" s="2"/>
      <c r="K11" s="2"/>
      <c r="L11" s="2"/>
      <c r="M11" s="2"/>
      <c r="N11" s="2"/>
    </row>
    <row r="12" spans="8:8" ht="15.0">
      <c r="A12" s="1" t="s">
        <v>11</v>
      </c>
      <c r="B12" s="3">
        <v>4.5906052E7</v>
      </c>
      <c r="C12" s="3">
        <v>4.2021813E7</v>
      </c>
      <c r="D12" s="3">
        <v>4.0450512E7</v>
      </c>
      <c r="E12" s="3">
        <v>3.2522174E7</v>
      </c>
      <c r="F12" s="3">
        <v>2.8448099E7</v>
      </c>
      <c r="G12" s="2"/>
      <c r="H12" s="2"/>
      <c r="I12" s="2"/>
      <c r="J12" s="2"/>
      <c r="K12" s="2"/>
      <c r="L12" s="2"/>
      <c r="M12" s="2"/>
      <c r="N12" s="2"/>
    </row>
    <row r="13" spans="8:8" ht="15.0">
      <c r="A13" s="1"/>
      <c r="B13" s="2"/>
      <c r="C13" s="2"/>
      <c r="D13" s="3">
        <v>8.33208006E8</v>
      </c>
      <c r="E13" s="3">
        <v>7.06451322E8</v>
      </c>
      <c r="F13" s="3">
        <v>6.62610675E8</v>
      </c>
      <c r="G13" s="2"/>
      <c r="H13" s="2"/>
      <c r="I13" s="2"/>
      <c r="J13" s="2"/>
      <c r="K13" s="2"/>
      <c r="L13" s="2"/>
      <c r="M13" s="2"/>
      <c r="N13" s="2"/>
    </row>
    <row r="14" spans="8:8" ht="15.0">
      <c r="A14" s="1" t="s">
        <v>12</v>
      </c>
      <c r="B14" s="2"/>
      <c r="C14" s="2"/>
      <c r="D14" s="2">
        <v>315741.0</v>
      </c>
      <c r="E14" s="3">
        <v>214757.0</v>
      </c>
      <c r="F14" s="3">
        <v>327949.0</v>
      </c>
      <c r="G14" s="2"/>
      <c r="H14" s="2"/>
      <c r="I14" s="4"/>
      <c r="J14" s="3"/>
      <c r="K14" s="2"/>
      <c r="L14" s="2"/>
      <c r="M14" s="2"/>
      <c r="N14" s="2"/>
    </row>
    <row r="15" spans="8:8" ht="15.0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8:8" ht="15.0">
      <c r="A16" s="1"/>
      <c r="B16" s="2"/>
      <c r="C16" s="2"/>
      <c r="D16" s="2"/>
      <c r="E16" s="2"/>
      <c r="F16" s="2"/>
      <c r="G16" s="2"/>
      <c r="H16" s="2"/>
      <c r="I16" s="3"/>
      <c r="J16" s="2"/>
      <c r="K16" s="2"/>
      <c r="L16" s="2"/>
      <c r="M16" s="2"/>
      <c r="N16" s="2"/>
    </row>
    <row r="17" spans="8:8" ht="15.0">
      <c r="A17" s="1" t="s">
        <v>13</v>
      </c>
      <c r="B17" s="3">
        <v>1.25932861E9</v>
      </c>
      <c r="C17" s="3">
        <v>9.92886661E8</v>
      </c>
      <c r="D17" s="3">
        <v>8.33443027E8</v>
      </c>
      <c r="E17" s="3">
        <v>7.06666079E8</v>
      </c>
      <c r="F17" s="3">
        <v>6.62938624E8</v>
      </c>
      <c r="G17" s="2"/>
      <c r="H17" s="2"/>
      <c r="I17" s="2"/>
      <c r="J17" s="2"/>
      <c r="K17" s="2"/>
      <c r="L17" s="2"/>
      <c r="M17" s="2"/>
      <c r="N17" s="2"/>
    </row>
    <row r="18" spans="8:8" ht="15.0">
      <c r="A18" s="1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8:8" ht="15.0">
      <c r="A19" s="1" t="s">
        <v>15</v>
      </c>
      <c r="B19" s="3">
        <v>1.0235374E7</v>
      </c>
      <c r="C19" s="3">
        <v>1.2629996E7</v>
      </c>
      <c r="D19" s="3">
        <v>1.5768947E7</v>
      </c>
      <c r="E19" s="3">
        <v>1.551288E7</v>
      </c>
      <c r="F19" s="3">
        <v>1.0769262E7</v>
      </c>
      <c r="G19" s="2"/>
      <c r="H19" s="2"/>
      <c r="I19" s="2"/>
      <c r="J19" s="2"/>
      <c r="K19" s="2"/>
      <c r="L19" s="2"/>
      <c r="M19" s="2"/>
      <c r="N19" s="2"/>
    </row>
    <row r="20" spans="8:8" ht="15.0">
      <c r="A20" s="1" t="s">
        <v>16</v>
      </c>
      <c r="B20" s="3">
        <v>1.23563761E8</v>
      </c>
      <c r="C20" s="3">
        <v>8.4163669E7</v>
      </c>
      <c r="D20" s="3">
        <v>5.1187681E7</v>
      </c>
      <c r="E20" s="3">
        <v>5.2702323E7</v>
      </c>
      <c r="F20" s="3">
        <v>7.1587311E7</v>
      </c>
      <c r="G20" s="2"/>
      <c r="H20" s="2"/>
      <c r="I20" s="2"/>
      <c r="J20" s="2"/>
      <c r="K20" s="2"/>
      <c r="L20" s="2"/>
      <c r="M20" s="2"/>
      <c r="N20" s="2"/>
    </row>
    <row r="21" spans="8:8" ht="15.75" customHeight="1">
      <c r="A21" s="1" t="s">
        <v>17</v>
      </c>
      <c r="B21" s="3">
        <v>1.015162254E9</v>
      </c>
      <c r="C21" s="3">
        <v>7.90982287E8</v>
      </c>
      <c r="D21" s="3">
        <v>6.79246312E8</v>
      </c>
      <c r="E21" s="3">
        <v>5.73596926E8</v>
      </c>
      <c r="F21" s="3">
        <v>5.25805051E8</v>
      </c>
      <c r="G21" s="2"/>
      <c r="H21" s="2"/>
      <c r="I21" s="2"/>
      <c r="J21" s="2"/>
      <c r="K21" s="2"/>
      <c r="L21" s="2"/>
      <c r="M21" s="2"/>
      <c r="N21" s="2"/>
    </row>
    <row r="22" spans="8:8" ht="15.75" customHeight="1">
      <c r="A22" s="1" t="s">
        <v>18</v>
      </c>
      <c r="B22" s="2" t="s">
        <v>5</v>
      </c>
      <c r="C22" s="2" t="s">
        <v>5</v>
      </c>
      <c r="D22" s="2" t="s">
        <v>5</v>
      </c>
      <c r="E22" s="2" t="s">
        <v>5</v>
      </c>
      <c r="F22" s="2" t="s">
        <v>5</v>
      </c>
      <c r="G22" s="2"/>
      <c r="H22" s="2"/>
      <c r="I22" s="2"/>
      <c r="J22" s="2"/>
      <c r="K22" s="2"/>
      <c r="L22" s="2"/>
      <c r="M22" s="2"/>
      <c r="N22" s="2"/>
    </row>
    <row r="23" spans="8:8" ht="15.75" customHeight="1">
      <c r="A23" s="1" t="s">
        <v>19</v>
      </c>
      <c r="B23" s="3">
        <v>1.2E7</v>
      </c>
      <c r="C23" s="3">
        <v>1.2E7</v>
      </c>
      <c r="D23" s="3">
        <v>9992000.0</v>
      </c>
      <c r="E23" s="3">
        <v>9993600.0</v>
      </c>
      <c r="F23" s="3">
        <v>4992800.0</v>
      </c>
      <c r="G23" s="2"/>
      <c r="H23" s="2"/>
      <c r="I23" s="2"/>
      <c r="J23" s="2"/>
      <c r="K23" s="2"/>
      <c r="L23" s="2"/>
      <c r="M23" s="2"/>
      <c r="N23" s="2"/>
    </row>
    <row r="24" spans="8:8" ht="15.75" customHeight="1">
      <c r="A24" s="1" t="s">
        <v>20</v>
      </c>
      <c r="B24" s="2" t="s">
        <v>5</v>
      </c>
      <c r="C24" s="2" t="s">
        <v>5</v>
      </c>
      <c r="D24" s="2" t="s">
        <v>5</v>
      </c>
      <c r="E24" s="2" t="s">
        <v>5</v>
      </c>
      <c r="F24" s="2" t="s">
        <v>5</v>
      </c>
      <c r="G24" s="2"/>
      <c r="H24" s="2"/>
      <c r="I24" s="2"/>
      <c r="J24" s="2"/>
      <c r="K24" s="2"/>
      <c r="L24" s="2"/>
      <c r="M24" s="2"/>
      <c r="N24" s="2"/>
    </row>
    <row r="25" spans="8:8" ht="15.75" customHeight="1">
      <c r="A25" s="1" t="s">
        <v>21</v>
      </c>
      <c r="B25" s="3">
        <v>4.2326358E7</v>
      </c>
      <c r="C25" s="3">
        <v>3.8429434E7</v>
      </c>
      <c r="D25" s="3">
        <v>3.4704048E7</v>
      </c>
      <c r="E25" s="3">
        <v>2.1178476E7</v>
      </c>
      <c r="F25" s="3">
        <v>1.7098223E7</v>
      </c>
      <c r="G25" s="2"/>
      <c r="H25" s="2"/>
      <c r="I25" s="2"/>
      <c r="J25" s="2"/>
      <c r="K25" s="2"/>
      <c r="L25" s="2"/>
      <c r="M25" s="2"/>
      <c r="N25" s="2"/>
    </row>
    <row r="26" spans="8:8" ht="15.75" customHeight="1">
      <c r="A26" s="1" t="s">
        <v>22</v>
      </c>
      <c r="B26" s="3">
        <v>1.203287747E9</v>
      </c>
      <c r="C26" s="3">
        <v>9.38205386E8</v>
      </c>
      <c r="D26" s="3">
        <f>SUM(D19:D25)</f>
        <v>7.90898988E8</v>
      </c>
      <c r="E26" s="3">
        <v>6.72984205E8</v>
      </c>
      <c r="F26" s="3">
        <v>6.30252647E8</v>
      </c>
      <c r="G26" s="2"/>
      <c r="H26" s="2"/>
      <c r="I26" s="2"/>
      <c r="J26" s="2"/>
      <c r="K26" s="2"/>
      <c r="L26" s="2"/>
      <c r="M26" s="2"/>
      <c r="N26" s="2"/>
    </row>
    <row r="27" spans="8:8" ht="15.75" customHeight="1">
      <c r="A27" s="1" t="s">
        <v>23</v>
      </c>
      <c r="B27" s="2" t="s">
        <v>5</v>
      </c>
      <c r="C27" s="2" t="s">
        <v>5</v>
      </c>
      <c r="D27" s="2">
        <v>141856.0</v>
      </c>
      <c r="E27" s="3">
        <v>81513.0</v>
      </c>
      <c r="F27" s="3">
        <v>140741.0</v>
      </c>
      <c r="G27" s="2"/>
      <c r="H27" s="2"/>
      <c r="I27" s="2"/>
      <c r="J27" s="2"/>
      <c r="K27" s="2"/>
      <c r="L27" s="2"/>
      <c r="M27" s="2"/>
      <c r="N27" s="2"/>
    </row>
    <row r="28" spans="8:8" ht="15.75" customHeight="1">
      <c r="A28" s="1"/>
      <c r="B28" s="2"/>
      <c r="C28" s="2"/>
      <c r="D28" s="3">
        <f>SUM(D26:D27)</f>
        <v>7.91040844E8</v>
      </c>
      <c r="E28" s="3">
        <v>6.73065718E8</v>
      </c>
      <c r="F28" s="3">
        <v>6.30393388E8</v>
      </c>
      <c r="G28" s="2"/>
      <c r="H28" s="2"/>
      <c r="I28" s="2"/>
      <c r="J28" s="2"/>
      <c r="K28" s="2"/>
      <c r="L28" s="2"/>
      <c r="M28" s="2"/>
      <c r="N28" s="3"/>
    </row>
    <row r="29" spans="8:8" ht="15.75" customHeight="1">
      <c r="A29" s="1" t="s">
        <v>24</v>
      </c>
      <c r="B29" s="3">
        <v>5.6040863E7</v>
      </c>
      <c r="C29" s="3">
        <v>5.4681275E7</v>
      </c>
      <c r="D29" s="3">
        <v>4.2402183E7</v>
      </c>
      <c r="E29" s="3">
        <v>3.3600361E7</v>
      </c>
      <c r="F29" s="3">
        <v>3.2545236E7</v>
      </c>
      <c r="G29" s="2"/>
      <c r="H29" s="2"/>
      <c r="I29" s="2"/>
      <c r="J29" s="2"/>
      <c r="K29" s="2"/>
      <c r="L29" s="2"/>
      <c r="M29" s="2"/>
      <c r="N29" s="2"/>
    </row>
    <row r="30" spans="8:8" ht="15.75" customHeight="1">
      <c r="A30" s="1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8:8" ht="15.75" customHeight="1">
      <c r="A31" s="1" t="s">
        <v>26</v>
      </c>
      <c r="B31" s="3">
        <v>1.2602602E7</v>
      </c>
      <c r="C31" s="3">
        <v>1.2602602E7</v>
      </c>
      <c r="D31" s="3">
        <v>1.2602602E7</v>
      </c>
      <c r="E31" s="3">
        <v>1.2602602E7</v>
      </c>
      <c r="F31" s="3">
        <v>1.2602602E7</v>
      </c>
      <c r="G31" s="2"/>
      <c r="H31" s="2"/>
      <c r="I31" s="2"/>
      <c r="J31" s="2"/>
      <c r="K31" s="2"/>
      <c r="L31" s="2"/>
      <c r="M31" s="2"/>
      <c r="N31" s="2"/>
    </row>
    <row r="32" spans="8:8" ht="15.75" customHeight="1">
      <c r="A32" s="1" t="s">
        <v>27</v>
      </c>
      <c r="B32" s="3">
        <v>3.2832051E7</v>
      </c>
      <c r="C32" s="3">
        <v>2.5701665E7</v>
      </c>
      <c r="D32" s="3">
        <v>1.9408889E7</v>
      </c>
      <c r="E32" s="3">
        <v>1.5588694E7</v>
      </c>
      <c r="F32" s="3">
        <v>1.2032263E7</v>
      </c>
      <c r="G32" s="2"/>
      <c r="H32" s="2"/>
      <c r="I32" s="2"/>
      <c r="J32" s="2"/>
      <c r="K32" s="2"/>
      <c r="L32" s="2"/>
      <c r="M32" s="2"/>
      <c r="N32" s="2"/>
    </row>
    <row r="33" spans="8:8" ht="15.75" customHeight="1">
      <c r="A33" s="1" t="s">
        <v>28</v>
      </c>
      <c r="B33" s="3">
        <v>1987976.0</v>
      </c>
      <c r="C33" s="3">
        <v>7670955.0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8:8" ht="15.75" customHeight="1">
      <c r="A34" s="1" t="s">
        <v>29</v>
      </c>
      <c r="B34" s="3">
        <v>8618234.0</v>
      </c>
      <c r="C34" s="3">
        <v>8706053.0</v>
      </c>
      <c r="D34" s="3">
        <v>4300426.0</v>
      </c>
      <c r="E34" s="3">
        <v>1649197.0</v>
      </c>
      <c r="F34" s="3">
        <v>5142254.0</v>
      </c>
      <c r="G34" s="2"/>
      <c r="H34" s="2"/>
      <c r="I34" s="2"/>
      <c r="J34" s="2"/>
      <c r="K34" s="2"/>
      <c r="L34" s="2"/>
      <c r="M34" s="2"/>
      <c r="N34" s="2"/>
    </row>
    <row r="35" spans="8:8" ht="15.75" customHeight="1">
      <c r="A35" s="1" t="s">
        <v>30</v>
      </c>
      <c r="B35" s="2"/>
      <c r="C35" s="2"/>
      <c r="D35" s="3">
        <v>39467.0</v>
      </c>
      <c r="E35" s="3">
        <v>5723.0</v>
      </c>
      <c r="F35" s="3">
        <v>19877.0</v>
      </c>
      <c r="G35" s="2"/>
      <c r="H35" s="2"/>
      <c r="I35" s="2"/>
      <c r="J35" s="2"/>
      <c r="K35" s="2"/>
      <c r="L35" s="2"/>
      <c r="M35" s="2"/>
      <c r="N35" s="2"/>
    </row>
    <row r="36" spans="8:8" ht="15.75" customHeight="1">
      <c r="A36" s="1" t="s">
        <v>31</v>
      </c>
      <c r="B36" s="2"/>
      <c r="C36" s="2"/>
      <c r="D36" s="3">
        <v>6002253.0</v>
      </c>
      <c r="E36" s="3">
        <v>3710867.0</v>
      </c>
      <c r="F36" s="3">
        <v>2703887.0</v>
      </c>
      <c r="G36" s="2"/>
      <c r="H36" s="2"/>
      <c r="I36" s="2"/>
      <c r="J36" s="2"/>
      <c r="K36" s="2"/>
      <c r="L36" s="2"/>
      <c r="M36" s="2"/>
      <c r="N36" s="2"/>
    </row>
    <row r="37" spans="8:8" ht="15.75" customHeight="1">
      <c r="A37" s="1"/>
      <c r="B37" s="2"/>
      <c r="C37" s="2"/>
      <c r="D37" s="3">
        <v>4.2353637E7</v>
      </c>
      <c r="E37" s="3">
        <v>3.3557083E7</v>
      </c>
      <c r="F37" s="3">
        <v>3.2500883E7</v>
      </c>
      <c r="G37" s="2"/>
      <c r="H37" s="2"/>
      <c r="I37" s="2"/>
      <c r="J37" s="2"/>
      <c r="K37" s="2"/>
      <c r="L37" s="2"/>
      <c r="M37" s="2"/>
      <c r="N37" s="2"/>
    </row>
    <row r="38" spans="8: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8:8" ht="15.75" customHeight="1">
      <c r="A39" s="1" t="s">
        <v>32</v>
      </c>
      <c r="B39" s="2" t="s">
        <v>5</v>
      </c>
      <c r="C39" s="2" t="s">
        <v>5</v>
      </c>
      <c r="D39" s="3">
        <v>48546.0</v>
      </c>
      <c r="E39" s="3">
        <v>43278.0</v>
      </c>
      <c r="F39" s="3">
        <v>44353.0</v>
      </c>
      <c r="G39" s="2"/>
      <c r="H39" s="2"/>
      <c r="I39" s="2"/>
      <c r="J39" s="2"/>
      <c r="K39" s="2"/>
      <c r="L39" s="2"/>
      <c r="M39" s="2"/>
      <c r="N39" s="2"/>
    </row>
    <row r="40" spans="8:8" ht="15.7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</row>
    <row r="41" spans="8:8" ht="15.75" customHeight="1">
      <c r="A41" s="1" t="s">
        <v>33</v>
      </c>
      <c r="B41" s="3">
        <v>5.6040863E7</v>
      </c>
      <c r="C41" s="3">
        <v>5.4681275E7</v>
      </c>
      <c r="D41" s="3">
        <f>SUM(D37:D39)</f>
        <v>4.2402183E7</v>
      </c>
      <c r="E41" s="3">
        <v>3.3600361E7</v>
      </c>
      <c r="F41" s="3">
        <v>3.2545236E7</v>
      </c>
      <c r="G41" s="2"/>
      <c r="H41" s="2"/>
      <c r="I41" s="2"/>
      <c r="J41" s="2"/>
      <c r="K41" s="2"/>
      <c r="L41" s="2"/>
      <c r="M41" s="2"/>
      <c r="N41" s="2"/>
    </row>
    <row r="42" spans="8: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8: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8: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8: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8: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8: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8: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8: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8: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8:8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8:8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8:8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8:8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8:8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8:8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8: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8: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8: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8: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8: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8: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8: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8: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8: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8: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8: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8: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8: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8: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8: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8: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8:8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8:8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8:8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8:8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8: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8: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8: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8: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8: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8: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8: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8: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8: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8: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8: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8: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8: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8: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8: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8: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8: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8: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8: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8: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8: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8: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8: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8: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8: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8: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8: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8: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8: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8: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8: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8: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8: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8: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8: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8: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8: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8: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8: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8: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8: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8: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8: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8: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8: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8: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8: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8: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8: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8: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8:8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8:8" ht="15.75" customHeight="1">
      <c r="A128" s="2"/>
      <c r="B128" s="2"/>
      <c r="C128" s="2"/>
      <c r="D128" s="2">
        <f>28736000000/B41</f>
        <v>512.7686916598697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8:8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8:8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8:8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8:8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8:8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8:8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8:8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8:8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8:8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8: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8:8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8:8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8:8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8:8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8:8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8:8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8:8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8:8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8:8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8: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8:8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8:8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8:8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8:8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8:8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8:8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8:8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8:8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8:8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8: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8:8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8:8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8:8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8:8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8:8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8:8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8:8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8:8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8:8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8: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8:8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8:8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8:8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8:8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8:8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8:8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8:8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8:8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8:8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8: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8:8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8:8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8:8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8:8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8:8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8:8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8:8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8:8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8:8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8: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8:8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8:8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8:8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8:8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8:8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8:8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8:8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8:8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8:8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8: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8:8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8:8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8:8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8:8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8:8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8:8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8:8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8:8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8:8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8: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8:8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8:8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8:8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8:8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8:8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8:8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8:8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8:8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8:8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8: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8:8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8:8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8: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8: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8: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8:8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8: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8: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8: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8: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8: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8: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8: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8: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8: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8: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8: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8: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8:8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8: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8:8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8:8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8:8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8:8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8:8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8:8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8:8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8:8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8:8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8: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8:8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8:8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8:8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8:8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8:8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8:8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8:8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8:8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8:8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8: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8:8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8:8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8:8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8:8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8:8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8:8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8:8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8:8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8:8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8: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8:8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8:8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8:8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8:8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8:8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8:8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8:8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8:8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8:8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8: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8:8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8:8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8:8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8:8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8:8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8:8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8:8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8:8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8:8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8: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8:8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8:8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8:8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8:8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8:8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8:8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8:8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8:8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8:8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8: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8:8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8:8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8:8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8:8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8:8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8:8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8:8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8:8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8:8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8: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8:8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8:8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8:8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8:8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8:8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8:8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8:8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8:8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8:8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8: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8:8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8: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8: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8: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8: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8: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8: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8: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8: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8: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</sheetData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232"/>
  <sheetViews>
    <sheetView workbookViewId="0">
      <selection activeCell="A1" sqref="A1"/>
    </sheetView>
  </sheetViews>
  <sheetFormatPr defaultRowHeight="15.0" customHeight="1" defaultColWidth="14"/>
  <cols>
    <col min="1" max="1" customWidth="1" width="50.289062" style="0"/>
    <col min="2" max="4" customWidth="1" width="12.2890625" style="0"/>
    <col min="5" max="6" customWidth="1" width="11.136719" style="0"/>
    <col min="7" max="8" customWidth="1" width="8.707031" style="0"/>
    <col min="9" max="9" customWidth="1" width="15.136719" style="0"/>
  </cols>
  <sheetData>
    <row r="1" spans="8:8" ht="15.0">
      <c r="A1" s="5" t="s">
        <v>0</v>
      </c>
      <c r="B1" s="5">
        <v>2021.0</v>
      </c>
      <c r="C1" s="5">
        <v>2020.0</v>
      </c>
      <c r="D1" s="5">
        <v>2019.0</v>
      </c>
      <c r="E1" s="5">
        <v>2018.0</v>
      </c>
      <c r="F1" s="5">
        <v>2017.0</v>
      </c>
      <c r="G1" s="6"/>
      <c r="H1" s="6"/>
      <c r="I1" s="6"/>
      <c r="J1" s="6"/>
      <c r="K1" s="6"/>
    </row>
    <row r="2" spans="8:8" ht="15.0">
      <c r="A2" s="5"/>
      <c r="B2" s="7"/>
      <c r="C2" s="6"/>
      <c r="D2" s="6"/>
      <c r="E2" s="6"/>
      <c r="F2" s="6"/>
      <c r="G2" s="6"/>
      <c r="H2" s="6"/>
      <c r="I2" s="6"/>
      <c r="J2" s="6"/>
      <c r="K2" s="6"/>
    </row>
    <row r="3" spans="8:8" ht="15.0">
      <c r="A3" s="5" t="s">
        <v>34</v>
      </c>
      <c r="B3" s="7" t="s">
        <v>35</v>
      </c>
      <c r="C3" s="7" t="s">
        <v>36</v>
      </c>
      <c r="D3" s="7">
        <v>7.1704373E7</v>
      </c>
      <c r="E3" s="7">
        <v>4.3669883E7</v>
      </c>
      <c r="F3" s="7">
        <v>3.626722E7</v>
      </c>
      <c r="G3" s="6"/>
      <c r="H3" s="6"/>
      <c r="I3" s="6"/>
      <c r="J3" s="6"/>
      <c r="K3" s="6"/>
    </row>
    <row r="4" spans="8:8" ht="15.0">
      <c r="A4" s="5" t="s">
        <v>37</v>
      </c>
      <c r="B4" s="8">
        <v>4.5139897E7</v>
      </c>
      <c r="C4" s="8">
        <v>4.8842539E7</v>
      </c>
      <c r="D4" s="8">
        <v>4.9567851E7</v>
      </c>
      <c r="E4" s="8">
        <v>2.5059925E7</v>
      </c>
      <c r="F4" s="8">
        <v>2.0071958E7</v>
      </c>
      <c r="G4" s="6"/>
      <c r="H4" s="6"/>
      <c r="I4" s="6"/>
      <c r="J4" s="6"/>
      <c r="K4" s="6"/>
    </row>
    <row r="5" spans="8:8" ht="15.0">
      <c r="A5" s="5" t="s">
        <v>38</v>
      </c>
      <c r="B5" s="8">
        <v>3.2429546E7</v>
      </c>
      <c r="C5" s="8">
        <v>3.0275781E7</v>
      </c>
      <c r="D5" s="8">
        <v>2.2136522E7</v>
      </c>
      <c r="E5" s="8">
        <v>1.8609958E7</v>
      </c>
      <c r="F5" s="8">
        <v>1.6195262E7</v>
      </c>
      <c r="G5" s="6"/>
      <c r="H5" s="6"/>
      <c r="I5" s="6"/>
      <c r="J5" s="6"/>
      <c r="K5" s="6"/>
    </row>
    <row r="6" spans="8:8" ht="15.0">
      <c r="A6" s="5" t="s">
        <v>39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8:8" ht="15.0">
      <c r="A7" s="5" t="s">
        <v>40</v>
      </c>
      <c r="B7" s="8">
        <v>4785268.0</v>
      </c>
      <c r="C7" s="8">
        <v>3991285.0</v>
      </c>
      <c r="D7" s="8">
        <v>3616428.0</v>
      </c>
      <c r="E7" s="8">
        <v>3116070.0</v>
      </c>
      <c r="F7" s="8">
        <v>2706794.0</v>
      </c>
      <c r="G7" s="6"/>
      <c r="H7" s="6"/>
      <c r="I7" s="8"/>
      <c r="J7" s="6"/>
      <c r="K7" s="6"/>
    </row>
    <row r="8" spans="8:8" ht="15.0">
      <c r="A8" s="5" t="s">
        <v>41</v>
      </c>
      <c r="B8" s="8">
        <v>421964.0</v>
      </c>
      <c r="C8" s="8">
        <v>273524.0</v>
      </c>
      <c r="D8" s="8">
        <v>274440.0</v>
      </c>
      <c r="E8" s="8">
        <v>231312.0</v>
      </c>
      <c r="F8" s="8">
        <v>302894.0</v>
      </c>
      <c r="G8" s="6"/>
      <c r="H8" s="6"/>
      <c r="I8" s="6"/>
      <c r="J8" s="6"/>
      <c r="K8" s="6"/>
    </row>
    <row r="9" spans="8:8" ht="15.0">
      <c r="A9" s="5" t="s">
        <v>42</v>
      </c>
      <c r="B9" s="8">
        <v>3123524.0</v>
      </c>
      <c r="C9" s="8">
        <v>2673493.0</v>
      </c>
      <c r="D9" s="8">
        <v>2507707.0</v>
      </c>
      <c r="E9" s="8">
        <v>1596027.0</v>
      </c>
      <c r="F9" s="8">
        <v>843032.0</v>
      </c>
      <c r="G9" s="6"/>
      <c r="H9" s="6"/>
      <c r="I9" s="6"/>
      <c r="J9" s="6"/>
      <c r="K9" s="6"/>
    </row>
    <row r="10" spans="8:8" ht="15.0">
      <c r="A10" s="5" t="s">
        <v>43</v>
      </c>
      <c r="B10" s="6" t="s">
        <v>5</v>
      </c>
      <c r="C10" s="6" t="s">
        <v>5</v>
      </c>
      <c r="D10" s="6" t="s">
        <v>5</v>
      </c>
      <c r="E10" s="6" t="s">
        <v>5</v>
      </c>
      <c r="F10" s="6" t="s">
        <v>5</v>
      </c>
      <c r="G10" s="6"/>
      <c r="H10" s="6"/>
      <c r="I10" s="6"/>
      <c r="J10" s="6"/>
      <c r="K10" s="6"/>
    </row>
    <row r="11" spans="8:8" ht="15.0">
      <c r="A11" s="5" t="s">
        <v>44</v>
      </c>
      <c r="B11" s="3">
        <v>814724.0</v>
      </c>
      <c r="C11" s="3">
        <v>2555400.0</v>
      </c>
      <c r="D11" s="3">
        <v>739351.0</v>
      </c>
      <c r="E11" s="3">
        <v>260103.0</v>
      </c>
      <c r="F11" s="3">
        <v>2063043.0</v>
      </c>
      <c r="G11" s="6"/>
      <c r="H11" s="6"/>
      <c r="I11" s="6"/>
      <c r="J11" s="6"/>
      <c r="K11" s="6"/>
    </row>
    <row r="12" spans="8:8" ht="15.0">
      <c r="A12" s="5" t="s">
        <v>45</v>
      </c>
      <c r="B12" s="8">
        <v>402118.0</v>
      </c>
      <c r="C12" s="8">
        <v>349438.0</v>
      </c>
      <c r="D12" s="8">
        <v>266102.0</v>
      </c>
      <c r="E12" s="8">
        <v>418081.0</v>
      </c>
      <c r="F12" s="8">
        <v>200341.0</v>
      </c>
      <c r="G12" s="6"/>
      <c r="H12" s="6"/>
      <c r="I12" s="6"/>
      <c r="J12" s="6"/>
      <c r="K12" s="6"/>
    </row>
    <row r="13" spans="8:8" ht="15.0">
      <c r="A13" s="5" t="s">
        <v>46</v>
      </c>
      <c r="B13" s="8">
        <v>9547598.0</v>
      </c>
      <c r="C13" s="8">
        <v>9843140.0</v>
      </c>
      <c r="D13" s="8">
        <v>7404028.0</v>
      </c>
      <c r="E13" s="8">
        <v>5621593.0</v>
      </c>
      <c r="F13" s="8">
        <v>6116104.0</v>
      </c>
      <c r="G13" s="6"/>
      <c r="H13" s="6"/>
      <c r="I13" s="6"/>
      <c r="J13" s="6"/>
      <c r="K13" s="6"/>
    </row>
    <row r="14" spans="8:8" ht="15.0">
      <c r="A14" s="5" t="s">
        <v>47</v>
      </c>
      <c r="B14" s="8">
        <v>4.1977144E7</v>
      </c>
      <c r="C14" s="8">
        <v>4.0118921E7</v>
      </c>
      <c r="D14" s="8">
        <v>2.954055E7</v>
      </c>
      <c r="E14" s="8">
        <v>2.4231551E7</v>
      </c>
      <c r="F14" s="8">
        <v>2.2311366E7</v>
      </c>
      <c r="G14" s="6"/>
      <c r="H14" s="6"/>
      <c r="I14" s="6"/>
      <c r="J14" s="6"/>
      <c r="K14" s="6"/>
    </row>
    <row r="15" spans="8:8" ht="15.0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8:8" ht="15.0">
      <c r="A16" s="5" t="s">
        <v>49</v>
      </c>
      <c r="B16" s="8">
        <v>2.1017376E7</v>
      </c>
      <c r="C16" s="8">
        <v>2.0217974E7</v>
      </c>
      <c r="D16" s="8">
        <v>1.8235061E7</v>
      </c>
      <c r="E16" s="8">
        <v>1.6240514E7</v>
      </c>
      <c r="F16" s="8">
        <v>1.4948796E7</v>
      </c>
      <c r="G16" s="6"/>
      <c r="H16" s="6"/>
      <c r="I16" s="6"/>
      <c r="J16" s="6"/>
      <c r="K16" s="6"/>
    </row>
    <row r="17" spans="8:8" ht="15.0">
      <c r="A17" s="5" t="s">
        <v>50</v>
      </c>
      <c r="B17" s="8">
        <v>213484.0</v>
      </c>
      <c r="C17" s="8">
        <v>42982.0</v>
      </c>
      <c r="D17" s="8">
        <v>42117.0</v>
      </c>
      <c r="E17" s="8">
        <v>-540060.0</v>
      </c>
      <c r="F17" s="8">
        <v>169833.0</v>
      </c>
      <c r="G17" s="6"/>
      <c r="H17" s="6"/>
      <c r="I17" s="8"/>
      <c r="J17" s="6"/>
      <c r="K17" s="6"/>
    </row>
    <row r="18" spans="8:8" ht="15.0">
      <c r="A18" s="5" t="s">
        <v>51</v>
      </c>
      <c r="B18" s="8">
        <v>90139.0</v>
      </c>
      <c r="C18" s="8">
        <v>48149.0</v>
      </c>
      <c r="D18" s="8">
        <v>99947.0</v>
      </c>
      <c r="E18" s="8">
        <v>191067.0</v>
      </c>
      <c r="F18" s="8">
        <v>23568.0</v>
      </c>
      <c r="G18" s="6"/>
      <c r="H18" s="6"/>
      <c r="I18" s="6"/>
      <c r="J18" s="6"/>
      <c r="K18" s="6"/>
    </row>
    <row r="19" spans="8:8" ht="15.0">
      <c r="A19" s="6"/>
      <c r="B19" s="8">
        <v>2.1320999E7</v>
      </c>
      <c r="C19" s="8">
        <v>2.0309105E7</v>
      </c>
      <c r="D19" s="8">
        <v>1.8377125E7</v>
      </c>
      <c r="E19" s="8">
        <v>1.5891521E7</v>
      </c>
      <c r="F19" s="8">
        <v>1.5142197E7</v>
      </c>
      <c r="G19" s="6"/>
      <c r="H19" s="6"/>
      <c r="I19" s="6"/>
      <c r="J19" s="6"/>
      <c r="K19" s="6"/>
    </row>
    <row r="20" spans="8:8" ht="15.0">
      <c r="A20" s="5" t="s">
        <v>52</v>
      </c>
      <c r="B20" s="8">
        <v>2.0656145E7</v>
      </c>
      <c r="C20" s="8">
        <v>1.9809816E7</v>
      </c>
      <c r="D20" s="8">
        <v>1.1163425E7</v>
      </c>
      <c r="E20" s="8">
        <v>8340030.0</v>
      </c>
      <c r="F20" s="8">
        <v>7169169.0</v>
      </c>
      <c r="G20" s="6"/>
      <c r="H20" s="6"/>
      <c r="I20" s="6"/>
      <c r="J20" s="6"/>
      <c r="K20" s="6"/>
    </row>
    <row r="21" spans="8:8" ht="15.75" customHeight="1">
      <c r="A21" s="5" t="s">
        <v>53</v>
      </c>
      <c r="B21" s="8">
        <v>4983944.0</v>
      </c>
      <c r="C21" s="8">
        <v>1974747.0</v>
      </c>
      <c r="D21" s="8">
        <v>773275.0</v>
      </c>
      <c r="E21" s="8">
        <v>1460575.0</v>
      </c>
      <c r="F21" s="8">
        <v>-1176432.0</v>
      </c>
      <c r="G21" s="6"/>
      <c r="H21" s="6"/>
      <c r="I21" s="6"/>
      <c r="J21" s="6"/>
      <c r="K21" s="6"/>
    </row>
    <row r="22" spans="8:8" ht="15.75" customHeight="1">
      <c r="A22" s="5" t="s">
        <v>54</v>
      </c>
      <c r="B22" s="6" t="s">
        <v>5</v>
      </c>
      <c r="C22" s="6" t="s">
        <v>5</v>
      </c>
      <c r="D22" s="6" t="s">
        <v>5</v>
      </c>
      <c r="E22" s="6" t="s">
        <v>5</v>
      </c>
      <c r="F22" s="6" t="s">
        <v>5</v>
      </c>
      <c r="G22" s="6"/>
      <c r="H22" s="6"/>
      <c r="I22" s="6"/>
      <c r="J22" s="6"/>
      <c r="K22" s="6"/>
    </row>
    <row r="23" spans="8:8" ht="15.75" customHeight="1">
      <c r="A23" s="5" t="s">
        <v>55</v>
      </c>
      <c r="B23" s="8">
        <v>1.5672201E7</v>
      </c>
      <c r="C23" s="8">
        <v>1.7835069E7</v>
      </c>
      <c r="D23" s="8">
        <v>1.039015E7</v>
      </c>
      <c r="E23" s="8">
        <v>6879455.0</v>
      </c>
      <c r="F23" s="8">
        <v>8345601.0</v>
      </c>
      <c r="G23" s="6"/>
      <c r="H23" s="6"/>
      <c r="I23" s="6"/>
      <c r="J23" s="6"/>
      <c r="K23" s="6"/>
    </row>
    <row r="24" spans="8:8" ht="15.75" customHeight="1">
      <c r="A24" s="5" t="s">
        <v>56</v>
      </c>
      <c r="B24" s="8">
        <v>-5956468.0</v>
      </c>
      <c r="C24" s="8">
        <v>-6978072.0</v>
      </c>
      <c r="D24" s="8">
        <v>3372249.0</v>
      </c>
      <c r="E24" s="8">
        <v>-2448177.0</v>
      </c>
      <c r="F24" s="8">
        <v>-3223915.0</v>
      </c>
      <c r="G24" s="6"/>
      <c r="H24" s="6"/>
      <c r="I24" s="6"/>
      <c r="J24" s="6"/>
      <c r="K24" s="6"/>
    </row>
    <row r="25" spans="8:8" ht="15.75" customHeight="1">
      <c r="A25" s="5" t="s">
        <v>57</v>
      </c>
      <c r="B25" s="8">
        <v>9715733.0</v>
      </c>
      <c r="C25" s="8">
        <v>1.0856997E7</v>
      </c>
      <c r="D25" s="8">
        <v>7017901.0</v>
      </c>
      <c r="E25" s="8">
        <v>4431278.0</v>
      </c>
      <c r="F25" s="8">
        <v>5121686.0</v>
      </c>
      <c r="G25" s="6"/>
      <c r="H25" s="6"/>
      <c r="I25" s="6"/>
      <c r="J25" s="6"/>
      <c r="K25" s="6"/>
    </row>
    <row r="26" spans="8:8" ht="15.75" customHeight="1">
      <c r="A26" s="5" t="s">
        <v>58</v>
      </c>
      <c r="B26" s="6"/>
      <c r="C26" s="6"/>
      <c r="D26" s="6">
        <v>14669.0</v>
      </c>
      <c r="E26" s="8">
        <v>-2659.0</v>
      </c>
      <c r="F26" s="8">
        <v>6611.0</v>
      </c>
      <c r="G26" s="6"/>
      <c r="H26" s="6"/>
      <c r="I26" s="6"/>
      <c r="J26" s="6"/>
      <c r="K26" s="6"/>
    </row>
    <row r="27" spans="8:8" ht="15.75" customHeight="1">
      <c r="A27" s="5" t="s">
        <v>59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8:8" ht="15.75" customHeight="1">
      <c r="A28" s="5" t="s">
        <v>60</v>
      </c>
      <c r="B28" s="8">
        <v>9715733.0</v>
      </c>
      <c r="C28" s="8">
        <v>1.0846333E7</v>
      </c>
      <c r="D28" s="8">
        <v>7028756.0</v>
      </c>
      <c r="E28" s="8">
        <v>4429310.0</v>
      </c>
      <c r="F28" s="8">
        <v>5121863.0</v>
      </c>
      <c r="G28" s="6"/>
      <c r="H28" s="6"/>
      <c r="I28" s="6"/>
      <c r="J28" s="6"/>
      <c r="K28" s="6"/>
    </row>
    <row r="29" spans="8:8" ht="15.75" customHeight="1">
      <c r="A29" s="5" t="s">
        <v>32</v>
      </c>
      <c r="B29" s="6" t="s">
        <v>5</v>
      </c>
      <c r="C29" s="8">
        <v>10664.0</v>
      </c>
      <c r="D29" s="8">
        <v>3814.0</v>
      </c>
      <c r="E29" s="6">
        <v>-691.0</v>
      </c>
      <c r="F29" s="8">
        <v>6434.0</v>
      </c>
      <c r="G29" s="6"/>
      <c r="H29" s="6"/>
      <c r="I29" s="6"/>
      <c r="J29" s="6"/>
      <c r="K29" s="6"/>
    </row>
    <row r="30" spans="8:8" ht="15.75" customHeight="1">
      <c r="A30" s="5"/>
      <c r="B30" s="8">
        <v>9715733.0</v>
      </c>
      <c r="C30" s="8">
        <v>1.0856997E7</v>
      </c>
      <c r="D30" s="8">
        <f>SUM(D28:D29)</f>
        <v>7032570.0</v>
      </c>
      <c r="E30" s="8">
        <v>4428619.0</v>
      </c>
      <c r="F30" s="8">
        <v>5128297.0</v>
      </c>
      <c r="G30" s="6"/>
      <c r="H30" s="6"/>
      <c r="I30" s="6"/>
      <c r="J30" s="6"/>
      <c r="K30" s="6"/>
    </row>
    <row r="31" spans="8:8" ht="15.7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8:8" ht="15.75" customHeight="1">
      <c r="A32" s="5" t="s">
        <v>61</v>
      </c>
      <c r="B32" s="6">
        <v>7.71</v>
      </c>
      <c r="C32" s="6">
        <v>8.61</v>
      </c>
      <c r="D32" s="6">
        <v>5.58</v>
      </c>
      <c r="E32" s="6">
        <v>3.51</v>
      </c>
      <c r="F32" s="6">
        <v>4.06</v>
      </c>
      <c r="G32" s="6"/>
      <c r="H32" s="6"/>
      <c r="I32" s="6"/>
      <c r="J32" s="6"/>
      <c r="K32" s="6"/>
    </row>
    <row r="33" spans="8:8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8:8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8:8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8:8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8:8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8: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8:8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8:8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8:8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8:8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8:8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8:8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8:8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8:8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8:8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8: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8:8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8:8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8:8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8:8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8:8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8:8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8:8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8:8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8:8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8: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8:8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8:8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8:8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8:8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8:8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8:8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8:8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8:8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8:8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8: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8:8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8:8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8:8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8:8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8:8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8:8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8:8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8:8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8:8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8: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8:8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8:8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8:8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8:8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8:8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8:8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8:8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8:8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8:8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8: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8:8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8:8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8:8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8:8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8:8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8:8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8:8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8:8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8:8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8: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8:8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8:8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8:8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8:8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8:8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8:8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8:8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8:8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8:8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8: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8:8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8:8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8:8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8:8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8:8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8:8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8:8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8:8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8:8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8: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8:8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8:8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8:8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8:8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8:8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8:8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8:8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8:8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8:8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8: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8:8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8:8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8:8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8:8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8:8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8:8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8:8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8:8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8:8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8: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8:8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8:8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8:8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8:8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8:8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8:8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8:8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8:8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8:8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8: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8:8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8:8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8:8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8:8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8:8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8:8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8:8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8:8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8:8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8: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8:8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8:8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8:8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8:8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8:8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8:8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8:8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8:8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8:8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8: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8:8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8:8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8:8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8:8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8:8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8:8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8:8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8:8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8:8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8: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8:8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8:8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8:8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8:8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8:8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8:8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8:8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8:8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8:8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8: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8:8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8:8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8:8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8:8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8:8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8:8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8:8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8:8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8:8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8: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8:8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8:8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8:8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8:8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8:8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8:8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8:8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8:8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8:8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8: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8:8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8:8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8:8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8:8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8:8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8:8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8:8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8:8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8:8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8: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8:8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8:8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8:8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8:8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8:8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8:8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8:8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8:8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8:8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8: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8:8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8:8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8:8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8:8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</sheetData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AD142"/>
  <sheetViews>
    <sheetView workbookViewId="0">
      <pane xSplit="1" topLeftCell="B1" state="frozen" activePane="topRight"/>
      <selection pane="topRight" activeCell="C2" sqref="C2"/>
    </sheetView>
  </sheetViews>
  <sheetFormatPr defaultRowHeight="15.0" customHeight="1" defaultColWidth="14"/>
  <cols>
    <col min="1" max="1" customWidth="1" width="11.4296875" style="0"/>
    <col min="2" max="2" customWidth="1" width="71.42969" style="0"/>
    <col min="3" max="4" customWidth="1" width="20.707031" style="0"/>
    <col min="5" max="6" customWidth="1" width="19.859375" style="0"/>
    <col min="7" max="7" customWidth="1" width="20.289062" style="0"/>
  </cols>
  <sheetData>
    <row r="1" spans="8:8" ht="15.0">
      <c r="C1" s="5">
        <v>2021.0</v>
      </c>
      <c r="D1" s="5">
        <v>2020.0</v>
      </c>
      <c r="E1" s="5">
        <v>2019.0</v>
      </c>
      <c r="F1" s="5">
        <v>2018.0</v>
      </c>
      <c r="G1" s="5">
        <v>2017.0</v>
      </c>
    </row>
    <row r="13" spans="8:8" ht="15.0">
      <c r="A13" s="6"/>
      <c r="B13" s="6" t="s">
        <v>62</v>
      </c>
    </row>
    <row r="14" spans="8:8" ht="15.0">
      <c r="A14" s="6"/>
      <c r="B14" s="6" t="s">
        <v>63</v>
      </c>
      <c r="C14" s="8">
        <v>4.77673022E8</v>
      </c>
      <c r="D14" s="8">
        <v>3.95416055E8</v>
      </c>
      <c r="E14" s="8">
        <v>3.72913863E8</v>
      </c>
      <c r="F14" s="9">
        <v>3.43107147E8</v>
      </c>
      <c r="G14" s="8">
        <v>2.58693086E8</v>
      </c>
    </row>
    <row r="15" spans="8:8" ht="15.0">
      <c r="A15" s="6"/>
      <c r="B15" s="6" t="s">
        <v>6</v>
      </c>
      <c r="C15" s="8">
        <v>6.16231172E8</v>
      </c>
      <c r="D15" s="8">
        <v>4.49611987E8</v>
      </c>
      <c r="E15" s="8">
        <v>3.05435633E8</v>
      </c>
      <c r="F15" s="8">
        <v>2.60233987E8</v>
      </c>
      <c r="G15" s="8">
        <v>3.14956748E8</v>
      </c>
    </row>
    <row r="16" spans="8:8" ht="15.0">
      <c r="A16" s="6"/>
      <c r="B16" s="6" t="s">
        <v>64</v>
      </c>
      <c r="C16" s="6">
        <v>0.0</v>
      </c>
      <c r="D16" s="6">
        <v>0.0</v>
      </c>
      <c r="E16" s="8">
        <v>2.0405972E7</v>
      </c>
      <c r="F16" s="6">
        <v>0.0</v>
      </c>
      <c r="G16" s="8">
        <v>2250000.0</v>
      </c>
    </row>
    <row r="17" spans="8:8" ht="15.0">
      <c r="A17" s="6"/>
      <c r="B17" s="6" t="s">
        <v>65</v>
      </c>
      <c r="C17" s="8">
        <v>3556215.0</v>
      </c>
      <c r="D17" s="10">
        <v>8196147.0</v>
      </c>
      <c r="E17" s="8">
        <v>7886702.0</v>
      </c>
      <c r="F17" s="9">
        <v>4093402.0</v>
      </c>
      <c r="G17" s="8">
        <v>3193835.0</v>
      </c>
    </row>
    <row r="18" spans="8:8" ht="15.0">
      <c r="A18" s="11"/>
      <c r="B18" s="11" t="s">
        <v>66</v>
      </c>
      <c r="C18" s="8">
        <f t="shared" si="0" ref="C18:G18">SUM(C14:C17)</f>
        <v>1.097460409E9</v>
      </c>
      <c r="D18" s="8">
        <f t="shared" si="0"/>
        <v>8.53224189E8</v>
      </c>
      <c r="E18" s="8">
        <f t="shared" si="0"/>
        <v>7.0664217E8</v>
      </c>
      <c r="F18" s="8">
        <f t="shared" si="0"/>
        <v>6.07434536E8</v>
      </c>
      <c r="G18" s="8">
        <f t="shared" si="0"/>
        <v>5.79093669E8</v>
      </c>
    </row>
    <row r="20" spans="8:8" ht="15.0">
      <c r="A20" s="6"/>
      <c r="B20" s="6" t="s">
        <v>67</v>
      </c>
    </row>
    <row r="21" spans="8:8" ht="15.75" customHeight="1">
      <c r="A21" s="6"/>
      <c r="B21" s="6" t="s">
        <v>68</v>
      </c>
      <c r="C21" s="8">
        <v>2.22888771E8</v>
      </c>
      <c r="D21" s="8">
        <v>5.39726821E8</v>
      </c>
      <c r="E21" s="8">
        <v>4.84456138E8</v>
      </c>
      <c r="F21" s="8">
        <v>4.04040078E8</v>
      </c>
      <c r="G21" s="8">
        <v>3.81975947E8</v>
      </c>
    </row>
    <row r="22" spans="8:8" ht="15.75" customHeight="1">
      <c r="A22" s="6"/>
      <c r="B22" s="6" t="s">
        <v>69</v>
      </c>
      <c r="C22" s="8">
        <v>7.90982287E8</v>
      </c>
      <c r="D22" s="8">
        <v>1030588.0</v>
      </c>
      <c r="E22" s="8">
        <v>1.94254257E8</v>
      </c>
      <c r="F22" s="8">
        <v>1.68745407E8</v>
      </c>
      <c r="G22" s="8">
        <v>1.43678468E8</v>
      </c>
    </row>
    <row r="23" spans="8:8" ht="15.75" customHeight="1">
      <c r="A23" s="6"/>
      <c r="B23" s="6" t="s">
        <v>69</v>
      </c>
      <c r="C23" s="8">
        <v>1291196.0</v>
      </c>
      <c r="D23" s="8">
        <v>2.50224878E8</v>
      </c>
      <c r="E23" s="8">
        <v>535917.0</v>
      </c>
      <c r="F23" s="8">
        <v>811441.0</v>
      </c>
      <c r="G23" s="8">
        <v>150636.0</v>
      </c>
    </row>
    <row r="24" spans="8:8" ht="15.75" customHeight="1">
      <c r="A24" s="6"/>
      <c r="B24" s="6" t="s">
        <v>16</v>
      </c>
      <c r="C24" s="8">
        <v>1.23563761E8</v>
      </c>
      <c r="D24" s="9">
        <v>8.4163669E7</v>
      </c>
      <c r="E24" s="8">
        <v>5.1187681E7</v>
      </c>
      <c r="F24" s="9">
        <v>5.2702323E7</v>
      </c>
      <c r="G24" s="8">
        <v>7.1587311E7</v>
      </c>
    </row>
    <row r="25" spans="8:8" ht="15.75" customHeight="1">
      <c r="A25" s="6"/>
      <c r="B25" s="6" t="s">
        <v>70</v>
      </c>
      <c r="C25" s="8">
        <v>1.2E7</v>
      </c>
      <c r="D25" s="9">
        <v>1.2E7</v>
      </c>
      <c r="E25" s="8">
        <v>9992000.0</v>
      </c>
      <c r="F25" s="8">
        <v>9993600.0</v>
      </c>
      <c r="G25" s="8">
        <v>4992800.0</v>
      </c>
    </row>
    <row r="26" spans="8:8" ht="15.75" customHeight="1">
      <c r="A26" s="6"/>
      <c r="B26" s="6" t="s">
        <v>71</v>
      </c>
      <c r="C26" s="8">
        <v>7393878.0</v>
      </c>
      <c r="D26" s="9">
        <v>8223995.0</v>
      </c>
      <c r="E26" s="8">
        <v>970082.0</v>
      </c>
      <c r="F26" s="6">
        <v>0.0</v>
      </c>
      <c r="G26" s="6">
        <v>0.0</v>
      </c>
    </row>
    <row r="27" spans="8:8" ht="15.75" customHeight="1">
      <c r="A27" s="12"/>
      <c r="B27" s="12" t="s">
        <v>72</v>
      </c>
      <c r="C27" s="8">
        <f t="shared" si="1" ref="C27:G27">SUM(C21:C26)</f>
        <v>1.158119893E9</v>
      </c>
      <c r="D27" s="8">
        <f t="shared" si="1"/>
        <v>8.95369951E8</v>
      </c>
      <c r="E27" s="8">
        <f t="shared" si="1"/>
        <v>7.41396075E8</v>
      </c>
      <c r="F27" s="8">
        <f t="shared" si="1"/>
        <v>6.36292849E8</v>
      </c>
      <c r="G27" s="8">
        <f t="shared" si="1"/>
        <v>6.02385162E8</v>
      </c>
    </row>
    <row r="28" spans="8:8" ht="27.0" customHeight="1"/>
    <row r="29" spans="8:8" ht="15.75" customHeight="1">
      <c r="A29" s="6"/>
      <c r="B29" s="6" t="s">
        <v>73</v>
      </c>
      <c r="C29" s="8">
        <f>'Income Statement'!B25</f>
        <v>9715733.0</v>
      </c>
      <c r="D29" s="8">
        <f>'Income Statement'!C25</f>
        <v>1.0856997E7</v>
      </c>
      <c r="E29" s="8">
        <f>'Income Statement'!D25</f>
        <v>7017901.0</v>
      </c>
      <c r="F29" s="8">
        <f>'Income Statement'!E25</f>
        <v>4431278.0</v>
      </c>
      <c r="G29" s="8">
        <f>'Income Statement'!F25</f>
        <v>5121686.0</v>
      </c>
    </row>
    <row r="30" spans="8:8" ht="27.0" customHeight="1">
      <c r="A30" s="6"/>
      <c r="B30" s="6" t="s">
        <v>74</v>
      </c>
      <c r="C30" s="8">
        <f>'Balance Sheet'!B41</f>
        <v>5.6040863E7</v>
      </c>
      <c r="D30" s="8">
        <f>'Balance Sheet'!C41</f>
        <v>5.4681275E7</v>
      </c>
      <c r="E30" s="8">
        <f>'Balance Sheet'!D41</f>
        <v>4.2402183E7</v>
      </c>
      <c r="F30" s="8">
        <f>'Balance Sheet'!E41</f>
        <v>3.3600361E7</v>
      </c>
      <c r="G30" s="8">
        <f>'Balance Sheet'!F41</f>
        <v>3.2545236E7</v>
      </c>
    </row>
    <row r="31" spans="8:8" ht="27.0" customHeight="1">
      <c r="A31" s="6"/>
      <c r="B31" s="6" t="s">
        <v>13</v>
      </c>
      <c r="C31" s="8">
        <f>'Balance Sheet'!B17</f>
        <v>1.25932861E9</v>
      </c>
      <c r="D31" s="8">
        <f>'Balance Sheet'!C17</f>
        <v>9.92886661E8</v>
      </c>
      <c r="E31" s="8">
        <f>'Balance Sheet'!D17</f>
        <v>8.33443027E8</v>
      </c>
      <c r="F31" s="8">
        <f>'Balance Sheet'!E17</f>
        <v>7.06666079E8</v>
      </c>
      <c r="G31" s="8">
        <f>'Balance Sheet'!F17</f>
        <v>6.62938624E8</v>
      </c>
    </row>
    <row r="32" spans="8:8" ht="27.0" customHeight="1">
      <c r="A32" s="6"/>
      <c r="B32" s="6" t="s">
        <v>75</v>
      </c>
      <c r="C32" s="8">
        <f>'Income Statement'!B5-'Income Statement'!B19</f>
        <v>1.1108547E7</v>
      </c>
      <c r="D32" s="8">
        <f>'Income Statement'!C5-'Income Statement'!C19</f>
        <v>9966676.0</v>
      </c>
      <c r="E32" s="8">
        <f>'Income Statement'!D5-'Income Statement'!D19</f>
        <v>3759397.0</v>
      </c>
      <c r="F32" s="8">
        <f>'Income Statement'!E5-'Income Statement'!E19</f>
        <v>2718437.0</v>
      </c>
      <c r="G32" s="8">
        <f>'Income Statement'!F5-'Income Statement'!F19</f>
        <v>1053065.0</v>
      </c>
    </row>
    <row r="33" spans="8:8" ht="27.0" customHeight="1"/>
    <row r="34" spans="8:8" ht="15.75" customHeight="1">
      <c r="A34" s="6">
        <v>2.0</v>
      </c>
    </row>
    <row r="35" spans="8:8" ht="15.75" customHeight="1">
      <c r="A35" s="6">
        <v>3.0</v>
      </c>
    </row>
    <row r="36" spans="8:8" ht="15.75" customHeight="1">
      <c r="A36" s="6">
        <v>4.0</v>
      </c>
    </row>
    <row r="37" spans="8:8" ht="15.75" customHeight="1">
      <c r="A37" s="6">
        <v>5.0</v>
      </c>
    </row>
    <row r="38" spans="8:8" ht="15.75" customHeight="1">
      <c r="A38" s="6">
        <v>6.0</v>
      </c>
    </row>
    <row r="39" spans="8:8" ht="15.75" customHeight="1"/>
    <row r="40" spans="8:8" ht="15.75" customHeight="1">
      <c r="B40" s="5" t="s">
        <v>76</v>
      </c>
    </row>
    <row r="41" spans="8:8" ht="15.75" customHeight="1">
      <c r="B41" s="5" t="s">
        <v>47</v>
      </c>
      <c r="C41" s="8">
        <v>4.1977144E7</v>
      </c>
      <c r="D41" s="8">
        <v>4.0118921E7</v>
      </c>
      <c r="E41" s="8">
        <v>2.954055E7</v>
      </c>
      <c r="F41" s="8">
        <v>2.4231551E7</v>
      </c>
      <c r="G41" s="8">
        <v>2.2311366E7</v>
      </c>
      <c r="S41" s="5" t="s">
        <v>77</v>
      </c>
      <c r="Y41" s="6">
        <v>2021.0</v>
      </c>
      <c r="Z41" s="6">
        <v>2020.0</v>
      </c>
      <c r="AA41" s="6">
        <v>2019.0</v>
      </c>
      <c r="AB41" s="6">
        <v>2018.0</v>
      </c>
      <c r="AC41" s="6">
        <v>2017.0</v>
      </c>
    </row>
    <row r="42" spans="8:8" ht="15.75" customHeight="1">
      <c r="A42" s="6"/>
      <c r="B42" s="5" t="s">
        <v>49</v>
      </c>
      <c r="C42" s="8">
        <v>2.1017376E7</v>
      </c>
      <c r="D42" s="8">
        <v>2.0217974E7</v>
      </c>
      <c r="E42" s="8">
        <v>1.8235061E7</v>
      </c>
      <c r="F42" s="8">
        <v>1.6240514E7</v>
      </c>
      <c r="G42" s="8">
        <v>1.4948796E7</v>
      </c>
      <c r="S42" s="6" t="s">
        <v>78</v>
      </c>
      <c r="T42" s="6">
        <v>13.0</v>
      </c>
      <c r="U42" s="13" t="s">
        <v>79</v>
      </c>
      <c r="V42" s="13"/>
      <c r="W42" s="13"/>
    </row>
    <row r="43" spans="8:8" ht="15.75" customHeight="1">
      <c r="A43" s="6"/>
      <c r="B43" s="5" t="s">
        <v>13</v>
      </c>
      <c r="C43" s="8">
        <v>1.25932861E9</v>
      </c>
      <c r="D43" s="8">
        <v>9.92886661E8</v>
      </c>
      <c r="E43" s="8">
        <v>8.33443027E8</v>
      </c>
      <c r="F43" s="8">
        <v>7.06666079E8</v>
      </c>
      <c r="G43" s="8">
        <v>6.62938624E8</v>
      </c>
      <c r="S43" s="6" t="s">
        <v>80</v>
      </c>
      <c r="T43" s="6">
        <v>14.0</v>
      </c>
      <c r="U43" s="6" t="s">
        <v>81</v>
      </c>
      <c r="W43" s="13"/>
      <c r="Y43" s="6">
        <f t="shared" si="2" ref="Y43:AC43">C25/C14</f>
        <v>0.025121787179347967</v>
      </c>
      <c r="Z43" s="6">
        <f t="shared" si="2"/>
        <v>0.03034778140204752</v>
      </c>
      <c r="AA43" s="6">
        <f t="shared" si="2"/>
        <v>0.026794391390056745</v>
      </c>
      <c r="AB43" s="6">
        <f t="shared" si="2"/>
        <v>0.029126761384542073</v>
      </c>
      <c r="AC43" s="6">
        <f t="shared" si="2"/>
        <v>0.01930009061007529</v>
      </c>
    </row>
    <row r="44" spans="8:8" ht="15.75" customHeight="1">
      <c r="A44" s="6"/>
      <c r="S44" s="6" t="s">
        <v>80</v>
      </c>
      <c r="T44" s="6">
        <v>15.0</v>
      </c>
      <c r="U44" s="6" t="s">
        <v>82</v>
      </c>
      <c r="W44" s="13"/>
    </row>
    <row r="45" spans="8:8" ht="15.75" customHeight="1">
      <c r="S45" s="6" t="s">
        <v>80</v>
      </c>
      <c r="T45" s="6">
        <v>16.0</v>
      </c>
      <c r="U45" s="6" t="s">
        <v>83</v>
      </c>
      <c r="W45" s="13"/>
    </row>
    <row r="46" spans="8:8" ht="15.75" customHeight="1">
      <c r="S46" s="6" t="s">
        <v>80</v>
      </c>
      <c r="T46" s="6">
        <v>17.0</v>
      </c>
      <c r="U46" s="6" t="s">
        <v>84</v>
      </c>
      <c r="W46" s="13"/>
      <c r="Y46" s="6">
        <f>'Income Statement'!B21/'Balance Sheet'!B41</f>
        <v>0.08893410510112951</v>
      </c>
      <c r="Z46" s="6">
        <f>'Income Statement'!C21/'Balance Sheet'!C41</f>
        <v>0.03611377020744304</v>
      </c>
      <c r="AA46" s="6">
        <f>'Income Statement'!D21/'Balance Sheet'!D41</f>
        <v>0.018236678993626344</v>
      </c>
      <c r="AB46" s="6">
        <f>'Income Statement'!E21/'Balance Sheet'!E41</f>
        <v>0.04346902701432285</v>
      </c>
      <c r="AC46" s="6">
        <f>'Income Statement'!F21/'Balance Sheet'!F41</f>
        <v>-0.03614759468943473</v>
      </c>
    </row>
    <row r="47" spans="8:8" ht="15.75" customHeight="1">
      <c r="A47" s="6"/>
      <c r="S47" s="6" t="s">
        <v>80</v>
      </c>
      <c r="T47" s="6">
        <v>18.0</v>
      </c>
      <c r="U47" s="6" t="s">
        <v>85</v>
      </c>
      <c r="W47" s="13"/>
      <c r="Y47" s="6">
        <f>'Income Statement'!B21/C14</f>
        <v>0.010433798373482352</v>
      </c>
      <c r="Z47" s="6">
        <f>'Income Statement'!C21/D14</f>
        <v>0.004994099190029095</v>
      </c>
      <c r="AA47" s="6">
        <f>'Income Statement'!D21/E14</f>
        <v>0.0020736021819601808</v>
      </c>
      <c r="AB47" s="6">
        <f>'Income Statement'!E21/F14</f>
        <v>0.004256906371000194</v>
      </c>
      <c r="AC47" s="6">
        <f>'Income Statement'!F21/G14</f>
        <v>-0.004547597379544964</v>
      </c>
    </row>
    <row r="48" spans="8:8" ht="15.75" customHeight="1">
      <c r="Y48" s="6">
        <v>2021.0</v>
      </c>
      <c r="Z48" s="6">
        <v>2020.0</v>
      </c>
      <c r="AA48" s="6">
        <v>2019.0</v>
      </c>
      <c r="AB48" s="6">
        <v>2018.0</v>
      </c>
      <c r="AC48" s="6">
        <v>2017.0</v>
      </c>
    </row>
    <row r="49" spans="8:8" ht="15.75" customHeight="1">
      <c r="U49" s="6" t="s">
        <v>86</v>
      </c>
      <c r="Y49" s="6">
        <f>'Income Statement'!B25/'Income Statement'!B23</f>
        <v>0.6199341751678658</v>
      </c>
      <c r="Z49" s="6">
        <f>'Income Statement'!C25/'Income Statement'!C23</f>
        <v>0.6087443227721743</v>
      </c>
      <c r="AA49" s="6">
        <f>'Income Statement'!D25/'Income Statement'!D23</f>
        <v>0.6754378906945521</v>
      </c>
      <c r="AB49" s="6">
        <f>'Income Statement'!E25/'Income Statement'!E23</f>
        <v>0.6441321296527123</v>
      </c>
      <c r="AC49" s="6">
        <f>'Income Statement'!F25/'Income Statement'!F23</f>
        <v>0.6136988816024155</v>
      </c>
    </row>
    <row r="50" spans="8:8" ht="15.75" customHeight="1">
      <c r="U50" s="14" t="s">
        <v>87</v>
      </c>
    </row>
    <row r="51" spans="8:8" ht="15.75" customHeight="1">
      <c r="U51" s="15" t="s">
        <v>88</v>
      </c>
      <c r="Y51" s="6">
        <f t="shared" si="3" ref="Y51:AC51">C32/C31</f>
        <v>0.008821007409654578</v>
      </c>
      <c r="Z51" s="6">
        <f t="shared" si="3"/>
        <v>0.01003808026785446</v>
      </c>
      <c r="AA51" s="6">
        <f t="shared" si="3"/>
        <v>0.004510682648017403</v>
      </c>
      <c r="AB51" s="6">
        <f t="shared" si="3"/>
        <v>0.0038468480103740765</v>
      </c>
      <c r="AC51" s="6">
        <f t="shared" si="3"/>
        <v>0.0015884803839699042</v>
      </c>
    </row>
    <row r="52" spans="8:8" ht="15.75" customHeight="1">
      <c r="U52" s="15" t="s">
        <v>89</v>
      </c>
      <c r="Y52" s="6">
        <f>'Balance Sheet'!B17/'Balance Sheet'!B41</f>
        <v>22.47161343678808</v>
      </c>
      <c r="Z52" s="6">
        <f>'Balance Sheet'!C17/'Balance Sheet'!C41</f>
        <v>18.15770866718086</v>
      </c>
      <c r="AA52" s="6">
        <f>'Balance Sheet'!D17/'Balance Sheet'!D41</f>
        <v>19.655663176586923</v>
      </c>
      <c r="AB52" s="6">
        <f>'Balance Sheet'!E17/'Balance Sheet'!E41</f>
        <v>21.031502578201465</v>
      </c>
      <c r="AC52" s="6">
        <f>'Balance Sheet'!F17/'Balance Sheet'!F41</f>
        <v>20.36975930978039</v>
      </c>
    </row>
    <row r="53" spans="8:8" ht="15.75" customHeight="1">
      <c r="Y53" s="6">
        <f t="shared" si="4" ref="Y53:AC53">Y49*Y50*Y51*Y52</f>
        <v>0.0</v>
      </c>
      <c r="Z53" s="6">
        <f t="shared" si="4"/>
        <v>0.0</v>
      </c>
      <c r="AA53" s="6">
        <f t="shared" si="4"/>
        <v>0.0</v>
      </c>
      <c r="AB53" s="6">
        <f t="shared" si="4"/>
        <v>0.0</v>
      </c>
      <c r="AC53" s="6">
        <f t="shared" si="4"/>
        <v>0.0</v>
      </c>
    </row>
    <row r="54" spans="8:8" ht="15.75" customHeight="1"/>
    <row r="55" spans="8:8" ht="15.75" customHeight="1"/>
    <row r="56" spans="8:8" ht="15.75" customHeight="1">
      <c r="B56" s="5" t="s">
        <v>90</v>
      </c>
      <c r="C56" s="5">
        <v>2021.0</v>
      </c>
      <c r="D56" s="5">
        <v>2020.0</v>
      </c>
      <c r="E56" s="5">
        <v>2019.0</v>
      </c>
      <c r="F56" s="5">
        <v>2018.0</v>
      </c>
      <c r="G56" s="5">
        <v>2017.0</v>
      </c>
    </row>
    <row r="57" spans="8:8" ht="15.75" customHeight="1">
      <c r="B57" s="16" t="s">
        <v>91</v>
      </c>
      <c r="C57" s="16"/>
      <c r="D57" s="16"/>
      <c r="E57" s="16"/>
      <c r="F57" s="16"/>
      <c r="G57" s="16"/>
    </row>
    <row r="58" spans="8:8" ht="15.75" customHeight="1">
      <c r="B58" s="16" t="s">
        <v>92</v>
      </c>
      <c r="C58" s="16">
        <f t="shared" si="5" ref="C58:G58">(C61*C60)/(C60*C59)</f>
        <v>2.0145322434150774</v>
      </c>
      <c r="D58" s="16">
        <f t="shared" si="5"/>
        <v>1.8503634031637453</v>
      </c>
      <c r="E58" s="16">
        <f t="shared" si="5"/>
        <v>1.808522114347357</v>
      </c>
      <c r="F58" s="16">
        <f t="shared" si="5"/>
        <v>1.1116220735785953</v>
      </c>
      <c r="G58" s="16">
        <f t="shared" si="5"/>
        <v>1.332988089073019</v>
      </c>
    </row>
    <row r="59" spans="8:8" ht="15.75" customHeight="1">
      <c r="B59" s="17" t="s">
        <v>93</v>
      </c>
      <c r="C59" s="17">
        <v>22.02</v>
      </c>
      <c r="D59" s="17">
        <v>23.39</v>
      </c>
      <c r="E59" s="17">
        <v>18.54</v>
      </c>
      <c r="F59" s="17">
        <v>23.92</v>
      </c>
      <c r="G59" s="17">
        <v>19.31</v>
      </c>
    </row>
    <row r="60" spans="8:8" ht="15.75" customHeight="1">
      <c r="B60" s="17" t="s">
        <v>94</v>
      </c>
      <c r="C60" s="18">
        <v>1.26026018E9</v>
      </c>
      <c r="D60" s="18">
        <v>1.26026018E9</v>
      </c>
      <c r="E60" s="18">
        <v>1.26026018E9</v>
      </c>
      <c r="F60" s="18">
        <v>1.26026018E9</v>
      </c>
      <c r="G60" s="18">
        <v>1.26026018E9</v>
      </c>
    </row>
    <row r="61" spans="8:8" ht="15.75" customHeight="1">
      <c r="B61" s="17" t="s">
        <v>95</v>
      </c>
      <c r="C61" s="19">
        <v>44.36</v>
      </c>
      <c r="D61" s="19">
        <v>43.28</v>
      </c>
      <c r="E61" s="19">
        <v>33.53</v>
      </c>
      <c r="F61" s="19">
        <v>26.59</v>
      </c>
      <c r="G61" s="19">
        <v>25.74</v>
      </c>
    </row>
    <row r="62" spans="8:8" ht="15.75" customHeight="1">
      <c r="B62" s="16" t="s">
        <v>96</v>
      </c>
      <c r="C62" s="16"/>
      <c r="D62" s="16"/>
      <c r="E62" s="16"/>
      <c r="F62" s="16"/>
      <c r="G62" s="16"/>
    </row>
    <row r="63" spans="8:8" ht="15.75" customHeight="1">
      <c r="B63" s="16" t="s">
        <v>97</v>
      </c>
      <c r="C63" s="16">
        <f t="shared" si="6" ref="C63:G63">C64/C65</f>
        <v>1.3176955341044831</v>
      </c>
      <c r="D63" s="16">
        <f t="shared" si="6"/>
        <v>1.0580940899831748</v>
      </c>
      <c r="E63" s="16">
        <f t="shared" si="6"/>
        <v>1.0312515352074776</v>
      </c>
      <c r="F63" s="16">
        <f t="shared" si="6"/>
        <v>1.0721448468924104</v>
      </c>
      <c r="G63" s="16">
        <f t="shared" si="6"/>
        <v>1.0173813192532266</v>
      </c>
    </row>
    <row r="64" spans="8:8" ht="15.75" customHeight="1">
      <c r="B64" s="17" t="s">
        <v>98</v>
      </c>
      <c r="C64" s="18">
        <v>1.222420697E9</v>
      </c>
      <c r="D64" s="18">
        <v>9.56675071E8</v>
      </c>
      <c r="E64" s="18">
        <v>7.8664286E8</v>
      </c>
      <c r="F64" s="18">
        <v>6.67452221E8</v>
      </c>
      <c r="G64" s="18">
        <v>6.33359777E8</v>
      </c>
    </row>
    <row r="65" spans="8:8" ht="15.75" customHeight="1">
      <c r="B65" s="17" t="s">
        <v>99</v>
      </c>
      <c r="C65" s="18">
        <v>9.27695864E8</v>
      </c>
      <c r="D65" s="18">
        <v>9.04149338E8</v>
      </c>
      <c r="E65" s="18">
        <v>7.62804062E8</v>
      </c>
      <c r="F65" s="18">
        <v>6.22539224E8</v>
      </c>
      <c r="G65" s="18">
        <v>6.22539224E8</v>
      </c>
    </row>
    <row r="66" spans="8:8" ht="15.75" customHeight="1">
      <c r="B66" s="16" t="s">
        <v>100</v>
      </c>
      <c r="C66" s="16">
        <f t="shared" si="7" ref="C66:G66">C67/C68</f>
        <v>0.6015035236303832</v>
      </c>
      <c r="D66" s="16">
        <f t="shared" si="7"/>
        <v>0.9545793383865003</v>
      </c>
      <c r="E66" s="16">
        <f t="shared" si="7"/>
        <v>0.5738825687849851</v>
      </c>
      <c r="F66" s="16">
        <f t="shared" si="7"/>
        <v>0.5474861355249732</v>
      </c>
      <c r="G66" s="16">
        <f t="shared" si="7"/>
        <v>0.5479322380733475</v>
      </c>
      <c r="H66" s="6" t="s">
        <v>101</v>
      </c>
    </row>
    <row r="67" spans="8:8" ht="15.75" customHeight="1">
      <c r="B67" s="17" t="s">
        <v>102</v>
      </c>
      <c r="C67" s="18">
        <f>C68-404645277000</f>
        <v>6.10784723E11</v>
      </c>
      <c r="D67" s="18">
        <f>D68-35936237000</f>
        <v>7.55250763E11</v>
      </c>
      <c r="E67" s="18">
        <f>E68-289461352000</f>
        <v>3.89838134E11</v>
      </c>
      <c r="F67" s="18">
        <f>F68-259578178000</f>
        <v>3.14057678E11</v>
      </c>
      <c r="G67" s="18">
        <f>G68-237700985000</f>
        <v>2.88107323E11</v>
      </c>
    </row>
    <row r="68" spans="8:8" ht="15.75" customHeight="1">
      <c r="B68" s="17" t="s">
        <v>103</v>
      </c>
      <c r="C68" s="18">
        <v>1.01543E12</v>
      </c>
      <c r="D68" s="18">
        <v>7.91187E11</v>
      </c>
      <c r="E68" s="18">
        <v>6.79299486E11</v>
      </c>
      <c r="F68" s="18">
        <v>5.73635856E11</v>
      </c>
      <c r="G68" s="18">
        <v>5.25808308E11</v>
      </c>
    </row>
    <row r="69" spans="8:8" ht="15.75" customHeight="1">
      <c r="B69" s="16" t="s">
        <v>104</v>
      </c>
      <c r="C69" s="16">
        <f t="shared" si="8" ref="C69:G69">C70/C72</f>
        <v>2.8597402597402595</v>
      </c>
      <c r="D69" s="16">
        <f t="shared" si="8"/>
        <v>2.7292882147024504</v>
      </c>
      <c r="E69" s="16">
        <f t="shared" si="8"/>
        <v>3.328545780969479</v>
      </c>
      <c r="F69" s="16">
        <f t="shared" si="8"/>
        <v>6.795454545454546</v>
      </c>
      <c r="G69" s="16">
        <f t="shared" si="8"/>
        <v>4.619617224880383</v>
      </c>
    </row>
    <row r="70" spans="8:8" ht="15.75" customHeight="1">
      <c r="B70" s="17" t="s">
        <v>105</v>
      </c>
      <c r="C70" s="17">
        <v>22.02</v>
      </c>
      <c r="D70" s="17">
        <v>23.39</v>
      </c>
      <c r="E70" s="17">
        <v>18.54</v>
      </c>
      <c r="F70" s="17">
        <v>23.92</v>
      </c>
      <c r="G70" s="17">
        <v>19.31</v>
      </c>
    </row>
    <row r="71" spans="8:8" ht="15.75" customHeight="1">
      <c r="B71" s="20" t="s">
        <v>106</v>
      </c>
      <c r="C71" s="21">
        <v>0.1338</v>
      </c>
      <c r="D71" s="21">
        <v>0.1548</v>
      </c>
      <c r="E71" s="21">
        <v>0.1338</v>
      </c>
      <c r="F71" s="21">
        <v>0.1251</v>
      </c>
      <c r="G71" s="21">
        <v>0.1209</v>
      </c>
    </row>
    <row r="72" spans="8:8" ht="15.75" customHeight="1">
      <c r="B72" s="17" t="s">
        <v>107</v>
      </c>
      <c r="C72" s="17">
        <v>7.7</v>
      </c>
      <c r="D72" s="17">
        <v>8.57</v>
      </c>
      <c r="E72" s="17">
        <v>5.57</v>
      </c>
      <c r="F72" s="17">
        <v>3.52</v>
      </c>
      <c r="G72" s="17">
        <v>4.18</v>
      </c>
    </row>
    <row r="73" spans="8:8" ht="15.75" customHeight="1">
      <c r="B73" s="5" t="s">
        <v>33</v>
      </c>
      <c r="C73" s="8">
        <v>5.6040863E7</v>
      </c>
      <c r="D73" s="8">
        <v>5.4681275E7</v>
      </c>
      <c r="E73" s="8">
        <v>4.2402183E7</v>
      </c>
      <c r="F73" s="8">
        <v>3.3600361E7</v>
      </c>
      <c r="G73" s="8">
        <v>3.2545236E7</v>
      </c>
    </row>
    <row r="74" spans="8:8" ht="15.75" customHeight="1">
      <c r="B74" s="5" t="s">
        <v>13</v>
      </c>
      <c r="C74" s="8">
        <v>1.25932861E9</v>
      </c>
      <c r="D74" s="8">
        <v>9.92886661E8</v>
      </c>
      <c r="E74" s="8">
        <v>8.33443027E8</v>
      </c>
      <c r="F74" s="8">
        <v>7.06666079E8</v>
      </c>
      <c r="G74" s="8">
        <v>6.62938624E8</v>
      </c>
    </row>
    <row r="75" spans="8:8" ht="15.75" customHeight="1">
      <c r="B75" s="5" t="s">
        <v>108</v>
      </c>
    </row>
    <row r="76" spans="8:8" ht="15.75" customHeight="1">
      <c r="A76" s="22">
        <v>3.0</v>
      </c>
      <c r="B76" s="23" t="s">
        <v>109</v>
      </c>
      <c r="C76" s="22">
        <f>SUM('Income Statement'!B25/'Income Statement'!B16)</f>
        <v>0.46227145577069184</v>
      </c>
      <c r="D76" s="22">
        <f>SUM('Income Statement'!C25/'Income Statement'!C16)</f>
        <v>0.5369972777687814</v>
      </c>
      <c r="E76" s="22">
        <f>SUM('Income Statement'!D25/'Income Statement'!D16)</f>
        <v>0.38485755545320083</v>
      </c>
      <c r="F76" s="22">
        <f>SUM('Income Statement'!E25/'Income Statement'!E16)</f>
        <v>0.27285330993834306</v>
      </c>
      <c r="G76" s="22">
        <f>SUM('Income Statement'!F25/'Income Statement'!F16)</f>
        <v>0.3426152848697648</v>
      </c>
      <c r="H76" s="5" t="s">
        <v>110</v>
      </c>
    </row>
    <row r="77" spans="8:8" ht="15.75" customHeight="1">
      <c r="A77" s="22">
        <v>4.0</v>
      </c>
      <c r="B77" s="23" t="s">
        <v>111</v>
      </c>
      <c r="C77" s="24">
        <f t="shared" si="9" ref="C77:G77">C29/C30</f>
        <v>0.17336872560295868</v>
      </c>
      <c r="D77" s="24">
        <f t="shared" si="9"/>
        <v>0.19855054586784965</v>
      </c>
      <c r="E77" s="24">
        <f t="shared" si="9"/>
        <v>0.16550801169835996</v>
      </c>
      <c r="F77" s="24">
        <f t="shared" si="9"/>
        <v>0.13188185686457357</v>
      </c>
      <c r="G77" s="24">
        <f t="shared" si="9"/>
        <v>0.15737129698491048</v>
      </c>
      <c r="H77" s="5" t="s">
        <v>112</v>
      </c>
    </row>
    <row r="78" spans="8:8" ht="15.75" customHeight="1">
      <c r="A78" s="22">
        <v>5.0</v>
      </c>
      <c r="B78" s="23" t="s">
        <v>113</v>
      </c>
      <c r="C78" s="22">
        <f t="shared" si="10" ref="C78:G78">C29/C31</f>
        <v>0.007715010143381083</v>
      </c>
      <c r="D78" s="22">
        <f t="shared" si="10"/>
        <v>0.010934779795576284</v>
      </c>
      <c r="E78" s="22">
        <f t="shared" si="10"/>
        <v>0.008420372806118636</v>
      </c>
      <c r="F78" s="22">
        <f t="shared" si="10"/>
        <v>0.0062706816298168455</v>
      </c>
      <c r="G78" s="22">
        <f t="shared" si="10"/>
        <v>0.007725731786597487</v>
      </c>
      <c r="H78" s="5" t="s">
        <v>112</v>
      </c>
    </row>
    <row r="79" spans="8:8" ht="15.75" customHeight="1">
      <c r="A79" s="22">
        <v>6.0</v>
      </c>
      <c r="B79" s="23" t="s">
        <v>114</v>
      </c>
      <c r="C79" s="22">
        <f t="shared" si="11" ref="C79:G79">SUM(C80/C84)</f>
        <v>2.720052698133541E-10</v>
      </c>
      <c r="D79" s="22">
        <f t="shared" si="11"/>
        <v>3.315547918600171E-10</v>
      </c>
      <c r="E79" s="22">
        <f t="shared" si="11"/>
        <v>2.0376654688651644E-10</v>
      </c>
      <c r="F79" s="22">
        <f t="shared" si="11"/>
        <v>2.0670911833192082E-10</v>
      </c>
      <c r="G79" s="22">
        <f t="shared" si="11"/>
        <v>9.808303094879875E-11</v>
      </c>
      <c r="H79" s="5" t="s">
        <v>110</v>
      </c>
    </row>
    <row r="80" spans="8:8" ht="15.75" customHeight="1">
      <c r="A80" s="22">
        <v>7.0</v>
      </c>
      <c r="B80" s="23" t="s">
        <v>115</v>
      </c>
      <c r="C80" s="25">
        <f t="shared" si="12" ref="C80:G80">C32/C31</f>
        <v>0.008821007409654578</v>
      </c>
      <c r="D80" s="25">
        <f t="shared" si="12"/>
        <v>0.01003808026785446</v>
      </c>
      <c r="E80" s="25">
        <f t="shared" si="12"/>
        <v>0.004510682648017403</v>
      </c>
      <c r="F80" s="25">
        <f t="shared" si="12"/>
        <v>0.0038468480103740765</v>
      </c>
      <c r="G80" s="25">
        <f t="shared" si="12"/>
        <v>0.0015884803839699042</v>
      </c>
      <c r="H80" s="5" t="s">
        <v>116</v>
      </c>
    </row>
    <row r="81" spans="8:8" ht="15.75" customHeight="1">
      <c r="A81" s="22">
        <v>8.0</v>
      </c>
      <c r="B81" s="23" t="s">
        <v>117</v>
      </c>
      <c r="C81" s="25">
        <f>('Income Statement'!B13-'Income Statement'!B21-'Income Statement'!B18)/'Balance Sheet'!B17</f>
        <v>0.003552301571231674</v>
      </c>
      <c r="D81" s="25">
        <f>('Income Statement'!C13-'Income Statement'!C21-'Income Statement'!C18)/'Balance Sheet'!C17</f>
        <v>0.007876270582710548</v>
      </c>
      <c r="E81" s="25">
        <f>('Income Statement'!D13-'Income Statement'!D21-'Income Statement'!D18)/'Balance Sheet'!D17</f>
        <v>0.007835935736972697</v>
      </c>
      <c r="F81" s="25">
        <f>('Income Statement'!E13-'Income Statement'!E21-'Income Statement'!E18)/'Balance Sheet'!E17</f>
        <v>0.005617859860512705</v>
      </c>
      <c r="G81" s="25">
        <f>('Income Statement'!F13-'Income Statement'!F21-'Income Statement'!F18)/'Balance Sheet'!F17</f>
        <v>0.010964767682626378</v>
      </c>
      <c r="H81" s="5" t="s">
        <v>116</v>
      </c>
    </row>
    <row r="82" spans="8:8" ht="15.75" customHeight="1">
      <c r="A82" s="22">
        <v>9.0</v>
      </c>
      <c r="B82" s="23" t="s">
        <v>118</v>
      </c>
      <c r="C82" s="22">
        <f t="shared" si="13" ref="C82:G82">(C41-C42)/C43</f>
        <v>0.016643605039672688</v>
      </c>
      <c r="D82" s="22">
        <f t="shared" si="13"/>
        <v>0.020043523376531695</v>
      </c>
      <c r="E82" s="22">
        <f t="shared" si="13"/>
        <v>0.013564801232658222</v>
      </c>
      <c r="F82" s="22">
        <f t="shared" si="13"/>
        <v>0.011308080630257619</v>
      </c>
      <c r="G82" s="22">
        <f t="shared" si="13"/>
        <v>0.01110596024044603</v>
      </c>
      <c r="H82" s="5" t="s">
        <v>119</v>
      </c>
    </row>
    <row r="83" spans="8:8" ht="15.75" customHeight="1">
      <c r="A83" s="22">
        <v>10.0</v>
      </c>
      <c r="B83" s="23" t="s">
        <v>120</v>
      </c>
      <c r="C83" s="22">
        <f t="shared" si="14" ref="C83:G83">(C84/C85)-(C86/C87)</f>
        <v>0.011139617080179298</v>
      </c>
      <c r="D83" s="22">
        <f t="shared" si="14"/>
        <v>0.012801607777504297</v>
      </c>
      <c r="E83" s="22">
        <f t="shared" si="14"/>
        <v>0.006539163419639098</v>
      </c>
      <c r="F83" s="22">
        <f t="shared" si="14"/>
        <v>0.005661808837945599</v>
      </c>
      <c r="G83" s="22">
        <f t="shared" si="14"/>
        <v>0.0028294988179066</v>
      </c>
      <c r="H83" s="5"/>
    </row>
    <row r="84" spans="8:8" ht="15.75" customHeight="1">
      <c r="A84" s="26"/>
      <c r="B84" s="27" t="s">
        <v>121</v>
      </c>
      <c r="C84" s="28">
        <f>'Income Statement'!B5</f>
        <v>3.2429546E7</v>
      </c>
      <c r="D84" s="28">
        <f>'Income Statement'!C5</f>
        <v>3.0275781E7</v>
      </c>
      <c r="E84" s="28">
        <f>'Income Statement'!D5</f>
        <v>2.2136522E7</v>
      </c>
      <c r="F84" s="28">
        <f>'Income Statement'!E5</f>
        <v>1.8609958E7</v>
      </c>
      <c r="G84" s="28">
        <f>'Income Statement'!F5</f>
        <v>1.6195262E7</v>
      </c>
      <c r="H84" s="5"/>
    </row>
    <row r="85" spans="8:8" ht="15.75" customHeight="1">
      <c r="A85" s="26"/>
      <c r="B85" s="27" t="s">
        <v>122</v>
      </c>
      <c r="C85" s="28">
        <f t="shared" si="15" ref="C85:G85">C18</f>
        <v>1.097460409E9</v>
      </c>
      <c r="D85" s="28">
        <f t="shared" si="15"/>
        <v>8.53224189E8</v>
      </c>
      <c r="E85" s="28">
        <f t="shared" si="15"/>
        <v>7.0664217E8</v>
      </c>
      <c r="F85" s="28">
        <f t="shared" si="15"/>
        <v>6.07434536E8</v>
      </c>
      <c r="G85" s="28">
        <f t="shared" si="15"/>
        <v>5.79093669E8</v>
      </c>
      <c r="H85" s="5"/>
    </row>
    <row r="86" spans="8:8" ht="15.75" customHeight="1">
      <c r="A86" s="26"/>
      <c r="B86" s="27" t="s">
        <v>123</v>
      </c>
      <c r="C86" s="28">
        <f>'Income Statement'!B19</f>
        <v>2.1320999E7</v>
      </c>
      <c r="D86" s="28">
        <f>'Income Statement'!C19</f>
        <v>2.0309105E7</v>
      </c>
      <c r="E86" s="28">
        <f>'Income Statement'!D19</f>
        <v>1.8377125E7</v>
      </c>
      <c r="F86" s="28">
        <f>'Income Statement'!E19</f>
        <v>1.5891521E7</v>
      </c>
      <c r="G86" s="28">
        <f>'Income Statement'!F19</f>
        <v>1.5142197E7</v>
      </c>
      <c r="H86" s="5"/>
    </row>
    <row r="87" spans="8:8" ht="15.75" customHeight="1">
      <c r="A87" s="26"/>
      <c r="B87" s="27" t="s">
        <v>72</v>
      </c>
      <c r="C87" s="28">
        <f t="shared" si="16" ref="C87:G87">C27</f>
        <v>1.158119893E9</v>
      </c>
      <c r="D87" s="28">
        <f t="shared" si="16"/>
        <v>8.95369951E8</v>
      </c>
      <c r="E87" s="28">
        <f t="shared" si="16"/>
        <v>7.41396075E8</v>
      </c>
      <c r="F87" s="28">
        <f t="shared" si="16"/>
        <v>6.36292849E8</v>
      </c>
      <c r="G87" s="28">
        <f t="shared" si="16"/>
        <v>6.02385162E8</v>
      </c>
      <c r="H87" s="5"/>
    </row>
    <row r="88" spans="8:8" ht="15.75" customHeight="1">
      <c r="A88" s="22">
        <v>11.0</v>
      </c>
      <c r="B88" s="23" t="s">
        <v>124</v>
      </c>
      <c r="C88" s="22">
        <f t="shared" si="17" ref="C88:G88">C29/C32</f>
        <v>0.874617805550987</v>
      </c>
      <c r="D88" s="22">
        <f t="shared" si="17"/>
        <v>1.0893297825674277</v>
      </c>
      <c r="E88" s="22">
        <f t="shared" si="17"/>
        <v>1.8667624089714387</v>
      </c>
      <c r="F88" s="22">
        <f t="shared" si="17"/>
        <v>1.630083021971817</v>
      </c>
      <c r="G88" s="22">
        <f t="shared" si="17"/>
        <v>4.863599113065195</v>
      </c>
      <c r="H88" s="5" t="s">
        <v>112</v>
      </c>
    </row>
    <row r="89" spans="8:8" ht="15.75" customHeight="1">
      <c r="A89" s="22">
        <v>12.0</v>
      </c>
      <c r="B89" s="23" t="s">
        <v>125</v>
      </c>
      <c r="C89" s="22">
        <f t="shared" si="18" ref="C89:G89">C31/C30</f>
        <v>22.47161343678808</v>
      </c>
      <c r="D89" s="22">
        <f t="shared" si="18"/>
        <v>18.15770866718086</v>
      </c>
      <c r="E89" s="22">
        <f t="shared" si="18"/>
        <v>19.655663176586923</v>
      </c>
      <c r="F89" s="22">
        <f t="shared" si="18"/>
        <v>21.031502578201465</v>
      </c>
      <c r="G89" s="22">
        <f t="shared" si="18"/>
        <v>20.36975930978039</v>
      </c>
      <c r="H89" s="5" t="s">
        <v>112</v>
      </c>
    </row>
    <row r="90" spans="8:8" ht="15.75" customHeight="1">
      <c r="A90" s="22">
        <v>13.0</v>
      </c>
      <c r="B90" s="23" t="s">
        <v>126</v>
      </c>
      <c r="C90" s="22">
        <f t="shared" si="19" ref="C90:G90">C32/C31</f>
        <v>0.008821007409654578</v>
      </c>
      <c r="D90" s="22">
        <f t="shared" si="19"/>
        <v>0.01003808026785446</v>
      </c>
      <c r="E90" s="22">
        <f t="shared" si="19"/>
        <v>0.004510682648017403</v>
      </c>
      <c r="F90" s="22">
        <f t="shared" si="19"/>
        <v>0.0038468480103740765</v>
      </c>
      <c r="G90" s="22">
        <f t="shared" si="19"/>
        <v>0.0015884803839699042</v>
      </c>
      <c r="H90" s="5" t="s">
        <v>112</v>
      </c>
    </row>
    <row r="91" spans="8:8" ht="15.75" customHeight="1">
      <c r="A91" s="22">
        <v>14.0</v>
      </c>
      <c r="B91" s="23" t="s">
        <v>127</v>
      </c>
      <c r="C91" s="22">
        <f t="shared" si="20" ref="C91:G91">C42/C41</f>
        <v>0.5006861829380294</v>
      </c>
      <c r="D91" s="22">
        <f t="shared" si="20"/>
        <v>0.5039510908082498</v>
      </c>
      <c r="E91" s="22">
        <f t="shared" si="20"/>
        <v>0.6172891499988998</v>
      </c>
      <c r="F91" s="22">
        <f t="shared" si="20"/>
        <v>0.6702218112245477</v>
      </c>
      <c r="G91" s="22">
        <f t="shared" si="20"/>
        <v>0.6700081025966765</v>
      </c>
      <c r="H91" s="5" t="s">
        <v>119</v>
      </c>
    </row>
    <row r="92" spans="8:8" ht="15.75" customHeight="1">
      <c r="A92" s="22">
        <v>15.0</v>
      </c>
      <c r="B92" s="23" t="s">
        <v>128</v>
      </c>
      <c r="C92" s="29">
        <f>C29/15672201</f>
        <v>0.6199341751678658</v>
      </c>
      <c r="D92" s="29">
        <f>D29/17835069</f>
        <v>0.6087443227721743</v>
      </c>
      <c r="E92" s="29">
        <f>E29/10400965</f>
        <v>0.6747355654018642</v>
      </c>
      <c r="F92" s="29">
        <f>F29/6879455</f>
        <v>0.6441321296527123</v>
      </c>
      <c r="G92" s="29">
        <f>G29/8345601</f>
        <v>0.6136988816024155</v>
      </c>
      <c r="H92" s="5" t="s">
        <v>129</v>
      </c>
    </row>
    <row r="93" spans="8:8" ht="15.75" customHeight="1">
      <c r="A93" s="22">
        <v>16.0</v>
      </c>
      <c r="B93" s="23" t="s">
        <v>130</v>
      </c>
      <c r="C93" s="25">
        <f t="shared" si="21" ref="C93:G93">C32/C43</f>
        <v>0.008821007409654578</v>
      </c>
      <c r="D93" s="25">
        <f t="shared" si="21"/>
        <v>0.01003808026785446</v>
      </c>
      <c r="E93" s="25">
        <f t="shared" si="21"/>
        <v>0.004510682648017403</v>
      </c>
      <c r="F93" s="25">
        <f t="shared" si="21"/>
        <v>0.0038468480103740765</v>
      </c>
      <c r="G93" s="25">
        <f t="shared" si="21"/>
        <v>0.0015884803839699042</v>
      </c>
      <c r="H93" s="5" t="s">
        <v>129</v>
      </c>
    </row>
    <row r="94" spans="8:8" ht="15.75" customHeight="1"/>
    <row r="95" spans="8:8" ht="15.75" customHeight="1"/>
    <row r="96" spans="8:8" ht="15.75" customHeight="1">
      <c r="C96" s="22"/>
      <c r="D96" s="22"/>
      <c r="E96" s="22"/>
      <c r="F96" s="22"/>
      <c r="G96" s="22"/>
    </row>
    <row r="97" spans="8:8" ht="15.75" customHeight="1"/>
    <row r="98" spans="8:8" ht="15.75" customHeight="1">
      <c r="B98" s="30" t="s">
        <v>131</v>
      </c>
      <c r="C98" s="31"/>
      <c r="D98" s="31"/>
      <c r="E98" s="31"/>
      <c r="F98" s="31"/>
      <c r="G98" s="31"/>
      <c r="H98" s="31"/>
    </row>
    <row r="99" spans="8:8" ht="15.75" customHeight="1">
      <c r="B99" s="31" t="s">
        <v>132</v>
      </c>
      <c r="C99" s="31">
        <f t="shared" si="22" ref="C99:G99">C64/C65</f>
        <v>1.3176955341044831</v>
      </c>
      <c r="D99" s="31">
        <f t="shared" si="22"/>
        <v>1.0580940899831748</v>
      </c>
      <c r="E99" s="31">
        <f t="shared" si="22"/>
        <v>1.0312515352074776</v>
      </c>
      <c r="F99" s="31">
        <f t="shared" si="22"/>
        <v>1.0721448468924104</v>
      </c>
      <c r="G99" s="31">
        <f t="shared" si="22"/>
        <v>1.0173813192532266</v>
      </c>
      <c r="H99" s="31" t="s">
        <v>133</v>
      </c>
      <c r="I99" s="5"/>
    </row>
    <row r="100" spans="8:8" ht="15.75" customHeight="1">
      <c r="B100" s="31" t="s">
        <v>134</v>
      </c>
      <c r="C100" s="31">
        <f t="shared" si="23" ref="C100:G100">C67/C68</f>
        <v>0.6015035236303832</v>
      </c>
      <c r="D100" s="31">
        <f t="shared" si="23"/>
        <v>0.9545793383865003</v>
      </c>
      <c r="E100" s="31">
        <f t="shared" si="23"/>
        <v>0.5738825687849851</v>
      </c>
      <c r="F100" s="31">
        <f t="shared" si="23"/>
        <v>0.5474861355249732</v>
      </c>
      <c r="G100" s="31">
        <f t="shared" si="23"/>
        <v>0.5479322380733475</v>
      </c>
      <c r="H100" s="31" t="s">
        <v>133</v>
      </c>
    </row>
    <row r="101" spans="8:8" ht="15.75" customHeight="1">
      <c r="B101" s="30" t="s">
        <v>135</v>
      </c>
      <c r="C101" s="31"/>
      <c r="D101" s="31"/>
      <c r="E101" s="31"/>
      <c r="F101" s="31"/>
      <c r="G101" s="31"/>
      <c r="H101" s="31"/>
    </row>
    <row r="102" spans="8:8" ht="15.75" customHeight="1">
      <c r="B102" s="31" t="s">
        <v>136</v>
      </c>
      <c r="C102" s="31">
        <f t="shared" si="24" ref="C102:G102">C70/C72</f>
        <v>2.8597402597402595</v>
      </c>
      <c r="D102" s="31">
        <f t="shared" si="24"/>
        <v>2.7292882147024504</v>
      </c>
      <c r="E102" s="31">
        <f t="shared" si="24"/>
        <v>3.328545780969479</v>
      </c>
      <c r="F102" s="31">
        <f t="shared" si="24"/>
        <v>6.795454545454546</v>
      </c>
      <c r="G102" s="31">
        <f t="shared" si="24"/>
        <v>4.619617224880383</v>
      </c>
      <c r="H102" s="31" t="s">
        <v>133</v>
      </c>
    </row>
    <row r="103" spans="8:8" ht="15.75" customHeight="1">
      <c r="B103" s="31" t="s">
        <v>137</v>
      </c>
      <c r="C103" s="31">
        <f t="shared" si="25" ref="C103:G103">C73/C74</f>
        <v>0.044500587499556606</v>
      </c>
      <c r="D103" s="31">
        <f t="shared" si="25"/>
        <v>0.05507302811876531</v>
      </c>
      <c r="E103" s="31">
        <f t="shared" si="25"/>
        <v>0.05087592268019539</v>
      </c>
      <c r="F103" s="31">
        <f t="shared" si="25"/>
        <v>0.0475477202012409</v>
      </c>
      <c r="G103" s="31">
        <f t="shared" si="25"/>
        <v>0.0490923817406059</v>
      </c>
      <c r="H103" s="31" t="s">
        <v>133</v>
      </c>
    </row>
    <row r="104" spans="8:8" ht="15.75" customHeight="1"/>
    <row r="105" spans="8:8" ht="15.75" customHeight="1"/>
    <row r="106" spans="8:8" ht="15.75" customHeight="1">
      <c r="C106" s="5">
        <v>2021.0</v>
      </c>
      <c r="D106" s="5">
        <v>2020.0</v>
      </c>
      <c r="E106" s="5">
        <v>2019.0</v>
      </c>
      <c r="F106" s="5">
        <v>2018.0</v>
      </c>
      <c r="G106" s="5">
        <v>2017.0</v>
      </c>
    </row>
    <row r="107" spans="8:8" ht="15.75" customHeight="1">
      <c r="B107" s="32" t="s">
        <v>138</v>
      </c>
      <c r="C107" s="33">
        <f t="shared" si="26" ref="C107:G107">C108/C109</f>
        <v>0.3793632663534941</v>
      </c>
      <c r="D107" s="33">
        <f t="shared" si="26"/>
        <v>0.3983972368225142</v>
      </c>
      <c r="E107" s="33">
        <f t="shared" si="26"/>
        <v>0.447594261354229</v>
      </c>
      <c r="F107" s="33">
        <f t="shared" si="26"/>
        <v>0.4856214957056399</v>
      </c>
      <c r="G107" s="33">
        <f t="shared" si="26"/>
        <v>0.39036735341946005</v>
      </c>
      <c r="H107" s="5"/>
    </row>
    <row r="108" spans="8:8" ht="15.75" customHeight="1">
      <c r="B108" s="6" t="s">
        <v>139</v>
      </c>
      <c r="C108" s="8">
        <v>4.77673022E8</v>
      </c>
      <c r="D108" s="8">
        <v>3.95416055E8</v>
      </c>
      <c r="E108" s="8">
        <v>3.72939122E8</v>
      </c>
      <c r="F108" s="8">
        <v>3.43107147E8</v>
      </c>
      <c r="G108" s="8">
        <v>2.58693086E8</v>
      </c>
    </row>
    <row r="109" spans="8:8" ht="15.75" customHeight="1">
      <c r="B109" s="6" t="s">
        <v>13</v>
      </c>
      <c r="C109" s="8">
        <v>1.259144109E9</v>
      </c>
      <c r="D109" s="8">
        <v>9.92517062E8</v>
      </c>
      <c r="E109" s="8">
        <v>8.33208006E8</v>
      </c>
      <c r="F109" s="8">
        <v>7.06532042E8</v>
      </c>
      <c r="G109" s="8">
        <v>6.62691395E8</v>
      </c>
    </row>
    <row r="110" spans="8:8" ht="15.75" customHeight="1">
      <c r="B110" s="32" t="s">
        <v>140</v>
      </c>
      <c r="C110" s="34">
        <f t="shared" si="27" ref="C110:G110">C111/C109</f>
        <v>0.07385053016199276</v>
      </c>
      <c r="D110" s="34">
        <f t="shared" si="27"/>
        <v>0.08246494507114076</v>
      </c>
      <c r="E110" s="34">
        <f t="shared" si="27"/>
        <v>0.08512399243556956</v>
      </c>
      <c r="F110" s="34">
        <f t="shared" si="27"/>
        <v>0.07541207451706769</v>
      </c>
      <c r="G110" s="34">
        <f t="shared" si="27"/>
        <v>0.07157654431290753</v>
      </c>
    </row>
    <row r="111" spans="8:8" ht="15.75" customHeight="1">
      <c r="B111" s="6" t="s">
        <v>141</v>
      </c>
      <c r="C111" s="8">
        <f>89432245+3556215</f>
        <v>9.298846E7</v>
      </c>
      <c r="D111" s="8">
        <f>73651718+8196147</f>
        <v>8.1847865E7</v>
      </c>
      <c r="E111" s="8">
        <f>63039290+7886702</f>
        <v>7.0925992E7</v>
      </c>
      <c r="F111" s="8">
        <f>49187645+4093402</f>
        <v>5.3281047E7</v>
      </c>
      <c r="G111" s="8">
        <f>44239325+3193835</f>
        <v>4.743316E7</v>
      </c>
    </row>
    <row r="112" spans="8:8" ht="15.75" customHeight="1">
      <c r="B112" s="32" t="s">
        <v>142</v>
      </c>
      <c r="C112" s="34">
        <f t="shared" si="28" ref="C112:G112">C113/C109</f>
        <v>0.49171115011744854</v>
      </c>
      <c r="D112" s="34">
        <f t="shared" si="28"/>
        <v>0.4544605884064893</v>
      </c>
      <c r="E112" s="34">
        <f t="shared" si="28"/>
        <v>0.3567187375297496</v>
      </c>
      <c r="F112" s="34">
        <f t="shared" si="28"/>
        <v>0.36993280907704396</v>
      </c>
      <c r="G112" s="34">
        <f t="shared" si="28"/>
        <v>0.4739507867006482</v>
      </c>
    </row>
    <row r="113" spans="8:8" ht="15.75" customHeight="1">
      <c r="B113" s="6" t="s">
        <v>143</v>
      </c>
      <c r="C113" s="8">
        <f>593924897+25210301</f>
        <v>6.19135198E8</v>
      </c>
      <c r="D113" s="8">
        <f>429738711+21321177</f>
        <v>4.51059888E8</v>
      </c>
      <c r="E113" s="8">
        <f>284916148+12304760</f>
        <v>2.97220908E8</v>
      </c>
      <c r="F113" s="8">
        <f>249064623+12304760</f>
        <v>2.61369383E8</v>
      </c>
      <c r="G113" s="8">
        <f>10995031+303088077</f>
        <v>3.14083108E8</v>
      </c>
    </row>
    <row r="114" spans="8:8" ht="15.75" customHeight="1"/>
    <row r="115" spans="8:8" ht="15.75" customHeight="1">
      <c r="B115" s="5" t="s">
        <v>144</v>
      </c>
    </row>
    <row r="116" spans="8:8" ht="15.75" customHeight="1">
      <c r="B116" s="35" t="s">
        <v>145</v>
      </c>
      <c r="C116" s="36">
        <f>'Income Statement'!B21/'Balance Sheet'!B41</f>
        <v>0.08893410510112951</v>
      </c>
      <c r="D116" s="36">
        <f>'Income Statement'!C21/'Balance Sheet'!C41</f>
        <v>0.03611377020744304</v>
      </c>
      <c r="E116" s="36">
        <f>'Income Statement'!D21/'Balance Sheet'!D41</f>
        <v>0.018236678993626344</v>
      </c>
      <c r="F116" s="36">
        <f>'Income Statement'!E21/'Balance Sheet'!E41</f>
        <v>0.04346902701432285</v>
      </c>
      <c r="G116" s="36">
        <f>'Income Statement'!F21/'Balance Sheet'!F41</f>
        <v>-0.03614759468943473</v>
      </c>
    </row>
    <row r="117" spans="8:8" ht="15.75" customHeight="1">
      <c r="B117" s="35" t="s">
        <v>146</v>
      </c>
      <c r="C117" s="36">
        <f>'Income Statement'!B21/C119</f>
        <v>0.012181678995728362</v>
      </c>
      <c r="D117" s="36">
        <f>'Income Statement'!C21/D119</f>
        <v>0.00591016165333506</v>
      </c>
      <c r="E117" s="36">
        <f>'Income Statement'!D21/E119</f>
        <v>0.0023198739702196373</v>
      </c>
      <c r="F117" s="36">
        <f>'Income Statement'!E21/F119</f>
        <v>0.004782518939849008</v>
      </c>
      <c r="G117" s="36">
        <f>'Income Statement'!F21/G119</f>
        <v>-0.004899618342857461</v>
      </c>
    </row>
    <row r="118" spans="8:8" ht="15.75" customHeight="1">
      <c r="B118" s="6" t="s">
        <v>147</v>
      </c>
      <c r="C118" s="37">
        <v>0.010433798373482352</v>
      </c>
      <c r="D118" s="37">
        <v>0.004994099190029095</v>
      </c>
      <c r="E118" s="37">
        <v>0.0020736021819601808</v>
      </c>
      <c r="F118" s="37">
        <v>0.004256906371000194</v>
      </c>
      <c r="G118" s="37">
        <v>-0.004547597379544964</v>
      </c>
    </row>
    <row r="119" spans="8:8" ht="15.75" customHeight="1">
      <c r="B119" s="6" t="s">
        <v>148</v>
      </c>
      <c r="C119" s="8">
        <v>4.09134406E8</v>
      </c>
      <c r="D119" s="8">
        <v>3.34127409E8</v>
      </c>
      <c r="E119" s="8">
        <v>3.33326297E8</v>
      </c>
      <c r="F119" s="8">
        <v>3.05398686E8</v>
      </c>
      <c r="G119" s="8">
        <v>2.40106865E8</v>
      </c>
    </row>
    <row r="120" spans="8:8" ht="15.75" customHeight="1"/>
    <row r="121" spans="8:8" ht="15.75" customHeight="1">
      <c r="B121" s="38" t="s">
        <v>149</v>
      </c>
      <c r="C121" s="39"/>
      <c r="D121" s="39"/>
      <c r="E121" s="39"/>
      <c r="F121" s="39"/>
      <c r="G121" s="39"/>
    </row>
    <row r="122" spans="8:8" ht="15.75" customHeight="1">
      <c r="B122" s="38" t="s">
        <v>150</v>
      </c>
      <c r="C122" s="39">
        <f>B138/7478</f>
        <v>1299.2421770526878</v>
      </c>
      <c r="D122" s="39">
        <f>C138/7658</f>
        <v>1417.7326978323322</v>
      </c>
      <c r="E122" s="39">
        <f>D138/7534</f>
        <v>931.4973453676665</v>
      </c>
      <c r="F122" s="39">
        <f>E138/7538</f>
        <v>587.858583178562</v>
      </c>
      <c r="G122" s="39">
        <f>F138/7848</f>
        <v>652.6103465851172</v>
      </c>
    </row>
    <row r="123" spans="8:8" ht="15.75" customHeight="1">
      <c r="B123" s="38" t="s">
        <v>151</v>
      </c>
      <c r="C123" s="39"/>
      <c r="D123" s="39"/>
      <c r="E123" s="39"/>
      <c r="F123" s="39"/>
      <c r="G123" s="39"/>
    </row>
    <row r="124" spans="8:8" ht="15.75" customHeight="1">
      <c r="B124" s="39" t="s">
        <v>152</v>
      </c>
      <c r="C124" s="39">
        <f>'Balance Sheet'!B20/'Balance Sheet'!B26</f>
        <v>0.1026884561137312</v>
      </c>
      <c r="D124" s="39">
        <f>'Balance Sheet'!C20/'Balance Sheet'!C26</f>
        <v>0.0897070836043996</v>
      </c>
      <c r="E124" s="39">
        <f>'Balance Sheet'!D20/'Balance Sheet'!D26</f>
        <v>0.06472088316795267</v>
      </c>
      <c r="F124" s="39">
        <f>'Balance Sheet'!E20/'Balance Sheet'!E26</f>
        <v>0.07831138176563891</v>
      </c>
      <c r="G124" s="39">
        <f>'Balance Sheet'!F20/'Balance Sheet'!F26</f>
        <v>0.11358510169017981</v>
      </c>
    </row>
    <row r="125" spans="8:8" ht="15.75" customHeight="1">
      <c r="B125" s="39" t="s">
        <v>153</v>
      </c>
      <c r="C125" s="39">
        <f>'Balance Sheet'!B41/'Balance Sheet'!B7</f>
        <v>0.09094129856838855</v>
      </c>
      <c r="D125" s="39">
        <f>'Balance Sheet'!C41/'Balance Sheet'!C7</f>
        <v>0.12161881039884286</v>
      </c>
      <c r="E125" s="39">
        <f>'Balance Sheet'!D41/'Balance Sheet'!D7</f>
        <v>0.13882526600948358</v>
      </c>
      <c r="F125" s="39">
        <f>'Balance Sheet'!E41/'Balance Sheet'!E7</f>
        <v>0.12911595978429982</v>
      </c>
      <c r="G125" s="39">
        <f>'Balance Sheet'!F41/'Balance Sheet'!F7</f>
        <v>0.10333239788213713</v>
      </c>
    </row>
    <row r="126" spans="8:8" ht="15.75" customHeight="1"/>
    <row r="127" spans="8:8" ht="15.75" customHeight="1">
      <c r="J127" s="5">
        <v>2021.0</v>
      </c>
      <c r="K127" s="5">
        <v>2020.0</v>
      </c>
      <c r="L127" s="5">
        <v>2019.0</v>
      </c>
      <c r="M127" s="5">
        <v>2018.0</v>
      </c>
      <c r="N127" s="5">
        <v>2017.0</v>
      </c>
    </row>
    <row r="128" spans="8:8" ht="15.75" customHeight="1">
      <c r="B128" s="6" t="s">
        <v>154</v>
      </c>
      <c r="C128" s="37">
        <f>'Income Statement'!B21/'Balance Sheet'!B41</f>
        <v>0.08893410510112951</v>
      </c>
      <c r="D128" s="37">
        <f>'Income Statement'!C21/'Balance Sheet'!C41</f>
        <v>0.03611377020744304</v>
      </c>
      <c r="E128" s="37">
        <f>'Income Statement'!D21/'Balance Sheet'!D41</f>
        <v>0.018236678993626344</v>
      </c>
      <c r="F128" s="37">
        <f>'Income Statement'!E21/'Balance Sheet'!E41</f>
        <v>0.04346902701432285</v>
      </c>
      <c r="G128" s="37">
        <f>'Income Statement'!F21/'Balance Sheet'!F41</f>
        <v>-0.03614759468943473</v>
      </c>
      <c r="I128" s="6" t="s">
        <v>155</v>
      </c>
      <c r="J128" s="8">
        <v>5.0910076E7</v>
      </c>
      <c r="K128" s="8">
        <v>3.0042628E7</v>
      </c>
      <c r="L128" s="8">
        <v>2.1915115E7</v>
      </c>
      <c r="M128" s="8">
        <v>2.0766755E7</v>
      </c>
      <c r="N128" s="8">
        <v>4.9145554E7</v>
      </c>
    </row>
    <row r="129" spans="8:8" ht="15.75" customHeight="1">
      <c r="B129" s="6" t="s">
        <v>156</v>
      </c>
      <c r="C129" s="37">
        <f>25413635/'Balance Sheet'!B41</f>
        <v>0.45348400505538256</v>
      </c>
      <c r="D129" s="37">
        <f>24338648/'Balance Sheet'!C41</f>
        <v>0.44510022855173</v>
      </c>
      <c r="E129" s="37">
        <f>26257191/'Balance Sheet'!D41</f>
        <v>0.6192414904676017</v>
      </c>
      <c r="F129" s="37">
        <f>26166223/'Balance Sheet'!E41</f>
        <v>0.7787482699962658</v>
      </c>
      <c r="G129" s="37">
        <f>26753027/'Balance Sheet'!F41</f>
        <v>0.8220259026543855</v>
      </c>
    </row>
    <row r="130" spans="8:8" ht="15.75" customHeight="1">
      <c r="B130" s="6" t="s">
        <v>157</v>
      </c>
      <c r="C130" s="37">
        <f>J128/'Balance Sheet'!B17</f>
        <v>0.0404263633778637</v>
      </c>
      <c r="D130" s="37">
        <f>K128/'Balance Sheet'!C17</f>
        <v>0.030257862432900587</v>
      </c>
      <c r="E130" s="37">
        <f>L128/'Balance Sheet'!D17</f>
        <v>0.026294676768589726</v>
      </c>
      <c r="F130" s="37">
        <f>M128/'Balance Sheet'!E17</f>
        <v>0.02938694189112196</v>
      </c>
      <c r="G130" s="37">
        <f>N128/'Balance Sheet'!F17</f>
        <v>0.07413288684775741</v>
      </c>
    </row>
    <row r="131" spans="8:8" ht="15.75" customHeight="1"/>
    <row r="132" spans="8:8" ht="15.75" customHeight="1">
      <c r="B132" s="5" t="s">
        <v>144</v>
      </c>
    </row>
    <row r="133" spans="8:8" ht="15.75" customHeight="1">
      <c r="B133" s="6" t="s">
        <v>81</v>
      </c>
      <c r="C133" s="37">
        <v>0.025121787179347967</v>
      </c>
      <c r="D133" s="37">
        <v>0.03034778140204752</v>
      </c>
      <c r="E133" s="37">
        <v>0.026794391390056745</v>
      </c>
      <c r="F133" s="37">
        <v>0.029126761384542073</v>
      </c>
      <c r="G133" s="37">
        <v>0.01930009061007529</v>
      </c>
    </row>
    <row r="134" spans="8:8" ht="15.75" customHeight="1">
      <c r="B134" s="26" t="s">
        <v>82</v>
      </c>
      <c r="C134" s="37">
        <f>'Income Statement'!B21/C14</f>
        <v>0.010433798373482352</v>
      </c>
      <c r="D134" s="37">
        <f>'Income Statement'!C21/D15</f>
        <v>0.004392113771646395</v>
      </c>
      <c r="E134" s="37">
        <f>'Income Statement'!D21/E14</f>
        <v>0.0020736021819601808</v>
      </c>
      <c r="F134" s="37">
        <f>'Income Statement'!E21/F15</f>
        <v>0.0056125451438439515</v>
      </c>
      <c r="G134" s="37">
        <f>'Income Statement'!F21/G14</f>
        <v>-0.004547597379544964</v>
      </c>
    </row>
    <row r="135" spans="8:8" ht="15.75" customHeight="1"/>
    <row r="136" spans="8:8" ht="15.75" customHeight="1"/>
    <row r="137" spans="8:8" ht="15.75" customHeight="1"/>
    <row r="138" spans="8:8" ht="15.75" customHeight="1">
      <c r="B138" s="8">
        <v>9715733.0</v>
      </c>
      <c r="C138" s="8">
        <v>1.0856997E7</v>
      </c>
      <c r="D138" s="8">
        <v>7017901.0</v>
      </c>
      <c r="E138" s="8">
        <v>4431278.0</v>
      </c>
      <c r="F138" s="8">
        <v>5121686.0</v>
      </c>
    </row>
    <row r="139" spans="8:8" ht="15.75" customHeight="1"/>
    <row r="140" spans="8:8" ht="15.75" customHeight="1"/>
    <row r="141" spans="8:8" ht="15.75" customHeight="1"/>
    <row r="142" spans="8:8" ht="15.75" customHeight="1">
      <c r="D142" s="6" t="s">
        <v>158</v>
      </c>
    </row>
  </sheetData>
  <pageMargins left="0.7" right="0.7" top="0.75" bottom="0.75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S38"/>
  <sheetViews>
    <sheetView workbookViewId="0">
      <selection activeCell="A1" sqref="A1"/>
    </sheetView>
  </sheetViews>
  <sheetFormatPr defaultRowHeight="15.0" customHeight="1" defaultColWidth="14"/>
  <cols>
    <col min="1" max="1" customWidth="1" width="8.707031" style="0"/>
    <col min="2" max="2" customWidth="1" width="8.859375" style="0"/>
    <col min="3" max="3" customWidth="1" width="46.429688" style="0"/>
    <col min="4" max="4" customWidth="1" width="102.42969" style="0"/>
    <col min="5" max="5" customWidth="1" width="20.136719" style="0"/>
    <col min="6" max="7" customWidth="1" width="19.0" style="0"/>
    <col min="8" max="9" customWidth="1" width="19.429688" style="0"/>
    <col min="10" max="11" customWidth="1" width="8.859375" style="0"/>
    <col min="12" max="12" customWidth="1" width="33.289062" style="0"/>
    <col min="13" max="13" customWidth="1" width="17.707031" style="0"/>
    <col min="14" max="14" customWidth="1" width="16.0" style="0"/>
    <col min="15" max="17" customWidth="1" width="13.2890625" style="0"/>
    <col min="18" max="18" customWidth="1" width="8.707031" style="0"/>
  </cols>
  <sheetData>
    <row r="1" spans="8:8" ht="15.0">
      <c r="A1" t="s">
        <v>159</v>
      </c>
      <c r="C1" s="40" t="s">
        <v>160</v>
      </c>
    </row>
    <row r="2" spans="8:8" ht="15.0">
      <c r="E2" s="41">
        <v>2021.0</v>
      </c>
      <c r="F2" s="41">
        <v>2020.0</v>
      </c>
      <c r="G2" s="41">
        <v>2019.0</v>
      </c>
      <c r="H2" s="41">
        <v>2018.0</v>
      </c>
      <c r="I2" s="41">
        <v>2017.0</v>
      </c>
    </row>
    <row r="3" spans="8:8" ht="15.0">
      <c r="C3" s="42"/>
      <c r="D3" s="43" t="s">
        <v>161</v>
      </c>
      <c r="E3" s="44"/>
      <c r="F3" s="44"/>
      <c r="G3" s="44"/>
      <c r="H3" s="44"/>
      <c r="I3" s="44"/>
    </row>
    <row r="4" spans="8:8" ht="15.0">
      <c r="C4" s="45" t="s">
        <v>162</v>
      </c>
      <c r="D4" s="46" t="s">
        <v>163</v>
      </c>
      <c r="E4" s="47">
        <f t="shared" si="0" ref="E4:I4">SUM(M27/M28)</f>
        <v>0.17336872560295868</v>
      </c>
      <c r="F4" s="47">
        <f t="shared" si="0"/>
        <v>0.19855054586784965</v>
      </c>
      <c r="G4" s="47">
        <f t="shared" si="0"/>
        <v>0.16550801169835996</v>
      </c>
      <c r="H4" s="47">
        <f t="shared" si="0"/>
        <v>0.13188185686457357</v>
      </c>
      <c r="I4" s="47">
        <f t="shared" si="0"/>
        <v>0.15737129698491048</v>
      </c>
    </row>
    <row r="5" spans="8:8" ht="15.0">
      <c r="C5" s="48" t="s">
        <v>164</v>
      </c>
      <c r="D5" s="49" t="s">
        <v>165</v>
      </c>
      <c r="E5" s="47">
        <f t="shared" si="1" ref="E5:I5">M27/M29</f>
        <v>0.007715010143381083</v>
      </c>
      <c r="F5" s="47">
        <f t="shared" si="1"/>
        <v>0.010934779795576284</v>
      </c>
      <c r="G5" s="47">
        <f t="shared" si="1"/>
        <v>0.008420372806118636</v>
      </c>
      <c r="H5" s="47">
        <f t="shared" si="1"/>
        <v>0.0062706816298168455</v>
      </c>
      <c r="I5" s="47">
        <f t="shared" si="1"/>
        <v>0.007725731786597487</v>
      </c>
    </row>
    <row r="6" spans="8:8" ht="15.0">
      <c r="C6" s="48" t="s">
        <v>115</v>
      </c>
      <c r="D6" s="49" t="s">
        <v>166</v>
      </c>
      <c r="E6" s="47">
        <f t="shared" si="2" ref="E6:I6">SUM(M32-M33)/M29</f>
        <v>0.008821007409654578</v>
      </c>
      <c r="F6" s="47">
        <f t="shared" si="2"/>
        <v>0.01003808026785446</v>
      </c>
      <c r="G6" s="47">
        <f t="shared" si="2"/>
        <v>0.004510682648017403</v>
      </c>
      <c r="H6" s="47">
        <f t="shared" si="2"/>
        <v>0.0038468480103740765</v>
      </c>
      <c r="I6" s="47">
        <f t="shared" si="2"/>
        <v>0.0015884803839699042</v>
      </c>
    </row>
    <row r="7" spans="8:8" ht="15.0">
      <c r="C7" s="48" t="s">
        <v>117</v>
      </c>
      <c r="D7" s="49" t="s">
        <v>167</v>
      </c>
      <c r="E7" s="47">
        <f t="shared" si="3" ref="E7:I7">SUM(M34-M35-M36)/M29</f>
        <v>0.003552301571231674</v>
      </c>
      <c r="F7" s="47">
        <f t="shared" si="3"/>
        <v>0.007876270582710548</v>
      </c>
      <c r="G7" s="47">
        <f t="shared" si="3"/>
        <v>0.007835935736972697</v>
      </c>
      <c r="H7" s="47">
        <f t="shared" si="3"/>
        <v>0.005617859860512705</v>
      </c>
      <c r="I7" s="47">
        <f t="shared" si="3"/>
        <v>0.010964767682626378</v>
      </c>
    </row>
    <row r="8" spans="8:8" ht="15.0">
      <c r="C8" s="48" t="s">
        <v>168</v>
      </c>
      <c r="D8" s="49" t="s">
        <v>169</v>
      </c>
      <c r="E8" s="47">
        <f t="shared" si="4" ref="E8:I8">SUM(M31-M30)/M29</f>
        <v>0.016643605039672688</v>
      </c>
      <c r="F8" s="47">
        <f t="shared" si="4"/>
        <v>0.020043523376531695</v>
      </c>
      <c r="G8" s="47">
        <f t="shared" si="4"/>
        <v>0.013564801232658222</v>
      </c>
      <c r="H8" s="47">
        <f t="shared" si="4"/>
        <v>0.011308080630257619</v>
      </c>
      <c r="I8" s="47">
        <f t="shared" si="4"/>
        <v>0.01110596024044603</v>
      </c>
    </row>
    <row r="9" spans="8:8" ht="15.0">
      <c r="C9" s="48" t="s">
        <v>170</v>
      </c>
      <c r="D9" s="49" t="s">
        <v>171</v>
      </c>
      <c r="E9" s="47">
        <v>7.71</v>
      </c>
      <c r="F9" s="50">
        <v>8.61</v>
      </c>
      <c r="G9" s="50">
        <v>5.58</v>
      </c>
      <c r="H9" s="47">
        <v>3.51</v>
      </c>
      <c r="I9" s="47">
        <v>4.06</v>
      </c>
    </row>
    <row r="10" spans="8:8" ht="15.0">
      <c r="C10" s="48" t="s">
        <v>120</v>
      </c>
      <c r="D10" s="49" t="s">
        <v>172</v>
      </c>
      <c r="E10" s="47">
        <f>(79118320/E12)-(E13/E14)</f>
        <v>0.0451469941578754</v>
      </c>
      <c r="F10" s="47">
        <f>(77569443/F12)-(F13/F14)</f>
        <v>0.05562008275811929</v>
      </c>
      <c r="G10" s="47">
        <f>(71704373/G12)-(G13/G14)</f>
        <v>0.06264385394512989</v>
      </c>
      <c r="H10" s="47">
        <f>(43669883/H12)-(H13/H14)</f>
        <v>0.0342600922768363</v>
      </c>
      <c r="I10" s="47">
        <f>(36267220/I12)-(I13/I14)</f>
        <v>0.026674580597265796</v>
      </c>
    </row>
    <row r="11" spans="8:8" ht="15.0" hidden="1">
      <c r="C11" s="51" t="s">
        <v>121</v>
      </c>
      <c r="D11" s="52"/>
      <c r="E11" s="53" t="s">
        <v>35</v>
      </c>
      <c r="F11" s="53" t="s">
        <v>36</v>
      </c>
      <c r="G11" s="53">
        <v>7.1704373E7</v>
      </c>
      <c r="H11" s="53">
        <v>4.3669883E7</v>
      </c>
      <c r="I11" s="53">
        <v>3.626722E7</v>
      </c>
      <c r="L11" s="6"/>
      <c r="M11" s="8"/>
      <c r="N11" s="8"/>
      <c r="O11" s="8"/>
      <c r="P11" s="8"/>
      <c r="Q11" s="8"/>
    </row>
    <row r="12" spans="8:8" ht="15.0" hidden="1">
      <c r="C12" s="51" t="s">
        <v>122</v>
      </c>
      <c r="D12" s="52"/>
      <c r="E12" s="53">
        <v>1.154362175E9</v>
      </c>
      <c r="F12" s="53">
        <v>9.00147871E8</v>
      </c>
      <c r="G12" s="53">
        <v>7.54485153E8</v>
      </c>
      <c r="H12" s="53">
        <v>6.46435135E8</v>
      </c>
      <c r="I12" s="53">
        <v>6.09263684E8</v>
      </c>
      <c r="L12" s="6"/>
      <c r="M12" s="8"/>
      <c r="N12" s="8"/>
      <c r="O12" s="8"/>
      <c r="P12" s="8"/>
      <c r="Q12" s="8"/>
    </row>
    <row r="13" spans="8:8" ht="15.0" hidden="1">
      <c r="C13" s="51" t="s">
        <v>123</v>
      </c>
      <c r="D13" s="52"/>
      <c r="E13" s="53">
        <v>2.1320999E7</v>
      </c>
      <c r="F13" s="53">
        <v>2.0309105E7</v>
      </c>
      <c r="G13" s="53">
        <v>1.8377125E7</v>
      </c>
      <c r="H13" s="53">
        <v>1.5891521E7</v>
      </c>
      <c r="I13" s="53">
        <v>1.5142197E7</v>
      </c>
      <c r="L13" s="6"/>
      <c r="M13" s="8"/>
      <c r="N13" s="8"/>
      <c r="O13" s="8"/>
      <c r="P13" s="8"/>
      <c r="Q13" s="8"/>
    </row>
    <row r="14" spans="8:8" ht="15.0" hidden="1">
      <c r="C14" s="51" t="s">
        <v>72</v>
      </c>
      <c r="D14" s="52"/>
      <c r="E14" s="53">
        <v>9.11482373E8</v>
      </c>
      <c r="F14" s="53">
        <v>6.64694832E8</v>
      </c>
      <c r="G14" s="53">
        <v>5.67306696E8</v>
      </c>
      <c r="H14" s="53">
        <v>4.77296785E8</v>
      </c>
      <c r="I14" s="53">
        <v>4.6092539E8</v>
      </c>
      <c r="L14" s="6"/>
      <c r="M14" s="8"/>
      <c r="N14" s="9"/>
      <c r="O14" s="8"/>
      <c r="P14" s="9"/>
      <c r="Q14" s="8"/>
    </row>
    <row r="15" spans="8:8" ht="15.0">
      <c r="C15" s="54"/>
      <c r="D15" s="55"/>
      <c r="E15" s="56"/>
      <c r="F15" s="56"/>
      <c r="G15" s="56"/>
      <c r="H15" s="56"/>
      <c r="I15" s="56"/>
      <c r="L15" s="6"/>
      <c r="M15" s="8"/>
      <c r="N15" s="9"/>
      <c r="O15" s="8"/>
      <c r="P15" s="8"/>
      <c r="Q15" s="8"/>
    </row>
    <row r="16" spans="8:8" ht="15.0">
      <c r="C16" s="45" t="s">
        <v>162</v>
      </c>
      <c r="D16" s="46" t="s">
        <v>173</v>
      </c>
      <c r="E16" s="47">
        <f>Sheet1!C88*Sheet1!C89*Sheet1!C90</f>
        <v>0.17336872560295868</v>
      </c>
      <c r="F16" s="47">
        <f>Sheet1!D88*Sheet1!D89*Sheet1!D90</f>
        <v>0.19855054586784968</v>
      </c>
      <c r="G16" s="47">
        <f>Sheet1!E88*Sheet1!E89*Sheet1!E90</f>
        <v>0.16550801169836</v>
      </c>
      <c r="H16" s="47">
        <f>Sheet1!F88*Sheet1!F89*Sheet1!F90</f>
        <v>0.13188185686457357</v>
      </c>
      <c r="I16" s="47">
        <f>Sheet1!G88*Sheet1!G89*Sheet1!G90</f>
        <v>0.15737129698491045</v>
      </c>
      <c r="L16" s="6"/>
      <c r="M16" s="8">
        <v>2.91805374E8</v>
      </c>
      <c r="N16" s="9">
        <v>2.73510554E8</v>
      </c>
      <c r="O16" s="8">
        <v>2.23592292E8</v>
      </c>
      <c r="P16" s="8">
        <v>1.9568742E8</v>
      </c>
      <c r="Q16" s="8">
        <v>1.69327257E8</v>
      </c>
    </row>
    <row r="17" spans="8:8" ht="15.0">
      <c r="C17" s="48" t="s">
        <v>174</v>
      </c>
      <c r="D17" s="49" t="s">
        <v>165</v>
      </c>
      <c r="E17" s="53">
        <f t="shared" si="5" ref="E17:I17">SUM(M27/M29)</f>
        <v>0.007715010143381083</v>
      </c>
      <c r="F17" s="53">
        <f t="shared" si="5"/>
        <v>0.010934779795576284</v>
      </c>
      <c r="G17" s="53">
        <f t="shared" si="5"/>
        <v>0.008420372806118636</v>
      </c>
      <c r="H17" s="53">
        <f t="shared" si="5"/>
        <v>0.0062706816298168455</v>
      </c>
      <c r="I17" s="53">
        <f t="shared" si="5"/>
        <v>0.007725731786597487</v>
      </c>
      <c r="L17" s="57" t="s">
        <v>175</v>
      </c>
      <c r="M17" s="58">
        <f>'Balance Sheet'!B26-'Profitability Ratios'!M16</f>
        <v>9.11482373E8</v>
      </c>
      <c r="N17" s="58">
        <f>'Balance Sheet'!C26-'Profitability Ratios'!N16</f>
        <v>6.64694832E8</v>
      </c>
      <c r="O17" s="58">
        <f>'Balance Sheet'!D26-'Profitability Ratios'!O16</f>
        <v>5.67306696E8</v>
      </c>
      <c r="P17" s="58">
        <f>'Balance Sheet'!E26-'Profitability Ratios'!P16</f>
        <v>4.77296785E8</v>
      </c>
      <c r="Q17" s="58">
        <f>'Balance Sheet'!F26-'Profitability Ratios'!Q16</f>
        <v>4.6092539E8</v>
      </c>
    </row>
    <row r="18" spans="8:8" ht="15.0">
      <c r="C18" s="48" t="s">
        <v>176</v>
      </c>
      <c r="D18" s="49" t="s">
        <v>177</v>
      </c>
      <c r="E18" s="53">
        <f>Sheet1!C31/Sheet1!C30</f>
        <v>22.47161343678808</v>
      </c>
      <c r="F18" s="53">
        <f>Sheet1!D31/Sheet1!D30</f>
        <v>18.15770866718086</v>
      </c>
      <c r="G18" s="53">
        <f>Sheet1!E31/Sheet1!E30</f>
        <v>19.655663176586923</v>
      </c>
      <c r="H18" s="53">
        <f t="shared" si="6" ref="H18:I18">P29/P28</f>
        <v>21.031502578201465</v>
      </c>
      <c r="I18" s="53">
        <f t="shared" si="6"/>
        <v>20.36975930978039</v>
      </c>
    </row>
    <row r="19" spans="8:8" ht="15.0">
      <c r="C19" s="48" t="s">
        <v>178</v>
      </c>
      <c r="D19" s="49" t="s">
        <v>179</v>
      </c>
      <c r="E19" s="53">
        <f>Sheet1!C29/Sheet1!C32</f>
        <v>0.874617805550987</v>
      </c>
      <c r="F19" s="53">
        <f>Sheet1!D29/Sheet1!D32</f>
        <v>1.0893297825674277</v>
      </c>
      <c r="G19" s="53">
        <f>Sheet1!E29/Sheet1!E32</f>
        <v>1.8667624089714387</v>
      </c>
      <c r="H19" s="53">
        <f>Sheet1!F29/Sheet1!F32</f>
        <v>1.630083021971817</v>
      </c>
      <c r="I19" s="53">
        <f>Sheet1!G29/Sheet1!G32</f>
        <v>4.863599113065195</v>
      </c>
      <c r="L19" s="5"/>
      <c r="M19" s="8"/>
      <c r="N19" s="8"/>
      <c r="O19" s="8"/>
      <c r="P19" s="28"/>
      <c r="Q19" s="8"/>
    </row>
    <row r="20" spans="8:8" ht="15.0">
      <c r="C20" s="48" t="s">
        <v>180</v>
      </c>
      <c r="D20" s="49" t="s">
        <v>181</v>
      </c>
      <c r="E20" s="53">
        <f>Sheet1!C32/Sheet1!C31</f>
        <v>0.008821007409654578</v>
      </c>
      <c r="F20" s="53">
        <f>Sheet1!D32/Sheet1!D31</f>
        <v>0.01003808026785446</v>
      </c>
      <c r="G20" s="53">
        <f>Sheet1!E32/Sheet1!E31</f>
        <v>0.004510682648017403</v>
      </c>
      <c r="H20" s="53">
        <f>Sheet1!F32/Sheet1!F31</f>
        <v>0.0038468480103740765</v>
      </c>
      <c r="I20" s="53">
        <f>Sheet1!G32/Sheet1!G31</f>
        <v>0.0015884803839699042</v>
      </c>
      <c r="L20" s="5"/>
      <c r="M20" s="6"/>
      <c r="N20" s="6"/>
      <c r="O20" s="8"/>
      <c r="P20" s="6"/>
      <c r="Q20" s="8"/>
    </row>
    <row r="21" spans="8:8" ht="15.75" customHeight="1">
      <c r="C21" s="59"/>
      <c r="D21" s="55"/>
      <c r="E21" s="56"/>
      <c r="F21" s="56"/>
      <c r="G21" s="56"/>
      <c r="H21" s="56"/>
      <c r="I21" s="56"/>
      <c r="L21" s="5"/>
      <c r="M21" s="28"/>
      <c r="N21" s="28"/>
      <c r="O21" s="28"/>
      <c r="P21" s="28"/>
      <c r="Q21" s="28"/>
    </row>
    <row r="22" spans="8:8" ht="15.75" customHeight="1">
      <c r="C22" s="45" t="s">
        <v>162</v>
      </c>
      <c r="D22" s="46" t="s">
        <v>182</v>
      </c>
      <c r="E22" s="47">
        <f t="shared" si="7" ref="E22:I22">E23*E24*E25*E26</f>
        <v>0.17336872560295868</v>
      </c>
      <c r="F22" s="47">
        <f t="shared" si="7"/>
        <v>0.19855054586784968</v>
      </c>
      <c r="G22" s="47">
        <f t="shared" si="7"/>
        <v>0.16550801169835996</v>
      </c>
      <c r="H22" s="47">
        <f t="shared" si="7"/>
        <v>0.13188185686457354</v>
      </c>
      <c r="I22" s="47">
        <f t="shared" si="7"/>
        <v>0.15737129698491045</v>
      </c>
      <c r="L22" s="5"/>
      <c r="M22" s="58">
        <v>1.04966435E8</v>
      </c>
      <c r="N22" s="8">
        <v>9.273879E7</v>
      </c>
      <c r="O22" s="8">
        <v>7.8957874E7</v>
      </c>
      <c r="P22" s="8">
        <v>6.0230944E7</v>
      </c>
      <c r="Q22" s="8">
        <v>5.367494E7</v>
      </c>
    </row>
    <row r="23" spans="8:8" ht="15.75" customHeight="1">
      <c r="C23" s="48" t="s">
        <v>183</v>
      </c>
      <c r="D23" s="49" t="s">
        <v>184</v>
      </c>
      <c r="E23" s="47">
        <f>Sheet1!C29/'Income Statement'!B23</f>
        <v>0.6199341751678658</v>
      </c>
      <c r="F23" s="47">
        <f>Sheet1!D29/'Income Statement'!C23</f>
        <v>0.6087443227721743</v>
      </c>
      <c r="G23" s="47">
        <f>Sheet1!E29/'Income Statement'!D23</f>
        <v>0.6754378906945521</v>
      </c>
      <c r="H23" s="47">
        <f>Sheet1!F29/'Income Statement'!E23</f>
        <v>0.6441321296527123</v>
      </c>
      <c r="I23" s="47">
        <f>Sheet1!G29/'Income Statement'!F23</f>
        <v>0.6136988816024155</v>
      </c>
      <c r="L23" s="60" t="s">
        <v>185</v>
      </c>
      <c r="M23" s="58">
        <f>'Balance Sheet'!B17-'Profitability Ratios'!M22</f>
        <v>1.154362175E9</v>
      </c>
      <c r="N23" s="58">
        <f>'Balance Sheet'!C17-'Profitability Ratios'!N22</f>
        <v>9.00147871E8</v>
      </c>
      <c r="O23" s="58">
        <f>'Balance Sheet'!D17-'Profitability Ratios'!O22</f>
        <v>7.54485153E8</v>
      </c>
      <c r="P23" s="58">
        <f>'Balance Sheet'!E17-'Profitability Ratios'!P22</f>
        <v>6.46435135E8</v>
      </c>
      <c r="Q23" s="58">
        <f>'Balance Sheet'!F17-'Profitability Ratios'!Q22</f>
        <v>6.09263684E8</v>
      </c>
    </row>
    <row r="24" spans="8:8" ht="15.75" customHeight="1">
      <c r="C24" s="48" t="s">
        <v>186</v>
      </c>
      <c r="D24" s="49" t="s">
        <v>187</v>
      </c>
      <c r="E24" s="47">
        <f>'Income Statement'!B23/Sheet1!C32</f>
        <v>1.4108236657773514</v>
      </c>
      <c r="F24" s="47">
        <f>'Income Statement'!C23/Sheet1!D32</f>
        <v>1.7894701302620855</v>
      </c>
      <c r="G24" s="47">
        <f>'Income Statement'!D23/Sheet1!E32</f>
        <v>2.763780999984838</v>
      </c>
      <c r="H24" s="47">
        <f>'Income Statement'!E23/Sheet1!F32</f>
        <v>2.5306655993867064</v>
      </c>
      <c r="I24" s="47">
        <f>'Income Statement'!F23/Sheet1!G32</f>
        <v>7.925057807447783</v>
      </c>
    </row>
    <row r="25" spans="8:8" ht="15.75" customHeight="1">
      <c r="C25" s="48" t="s">
        <v>188</v>
      </c>
      <c r="D25" s="49" t="s">
        <v>189</v>
      </c>
      <c r="E25" s="47">
        <f>Sheet1!C32/Sheet1!C31</f>
        <v>0.008821007409654578</v>
      </c>
      <c r="F25" s="47">
        <f>Sheet1!D32/Sheet1!D31</f>
        <v>0.01003808026785446</v>
      </c>
      <c r="G25" s="47">
        <f>Sheet1!E32/Sheet1!E31</f>
        <v>0.004510682648017403</v>
      </c>
      <c r="H25" s="47">
        <f>Sheet1!F32/Sheet1!F31</f>
        <v>0.0038468480103740765</v>
      </c>
      <c r="I25" s="47">
        <f>Sheet1!G32/Sheet1!G31</f>
        <v>0.0015884803839699042</v>
      </c>
    </row>
    <row r="26" spans="8:8" ht="15.75" customHeight="1">
      <c r="C26" s="48" t="s">
        <v>190</v>
      </c>
      <c r="D26" s="49" t="s">
        <v>191</v>
      </c>
      <c r="E26" s="47">
        <f t="shared" si="8" ref="E26:I26">M29/M28</f>
        <v>22.47161343678808</v>
      </c>
      <c r="F26" s="47">
        <f t="shared" si="8"/>
        <v>18.15770866718086</v>
      </c>
      <c r="G26" s="47">
        <f t="shared" si="8"/>
        <v>19.655663176586923</v>
      </c>
      <c r="H26" s="47">
        <f t="shared" si="8"/>
        <v>21.031502578201465</v>
      </c>
      <c r="I26" s="47">
        <f t="shared" si="8"/>
        <v>20.36975930978039</v>
      </c>
      <c r="M26">
        <v>2021.0</v>
      </c>
      <c r="N26">
        <v>2020.0</v>
      </c>
      <c r="O26">
        <v>2019.0</v>
      </c>
      <c r="P26">
        <v>2018.0</v>
      </c>
      <c r="Q26">
        <v>2017.0</v>
      </c>
    </row>
    <row r="27" spans="8:8" ht="15.75" customHeight="1">
      <c r="C27" s="59"/>
      <c r="D27" s="61"/>
      <c r="E27" s="62"/>
      <c r="F27" s="62"/>
      <c r="G27" s="62"/>
      <c r="H27" s="62"/>
      <c r="I27" s="62"/>
      <c r="L27" s="5" t="s">
        <v>57</v>
      </c>
      <c r="M27" s="8">
        <v>9715733.0</v>
      </c>
      <c r="N27" s="8">
        <v>1.0856997E7</v>
      </c>
      <c r="O27" s="8">
        <v>7017901.0</v>
      </c>
      <c r="P27" s="8">
        <v>4431278.0</v>
      </c>
      <c r="Q27" s="8">
        <v>5121686.0</v>
      </c>
    </row>
    <row r="28" spans="8:8" ht="15.75" customHeight="1">
      <c r="C28" s="6"/>
      <c r="D28" s="63"/>
      <c r="E28" s="6"/>
      <c r="F28" s="6"/>
      <c r="G28" s="6"/>
      <c r="H28" s="6"/>
      <c r="I28" s="6"/>
      <c r="L28" s="5" t="s">
        <v>33</v>
      </c>
      <c r="M28" s="8">
        <v>5.6040863E7</v>
      </c>
      <c r="N28" s="8">
        <v>5.4681275E7</v>
      </c>
      <c r="O28" s="8">
        <v>4.2402183E7</v>
      </c>
      <c r="P28" s="8">
        <v>3.3600361E7</v>
      </c>
      <c r="Q28" s="8">
        <v>3.2545236E7</v>
      </c>
    </row>
    <row r="29" spans="8:8" ht="15.75" customHeight="1">
      <c r="D29" s="6"/>
      <c r="G29" s="7"/>
      <c r="L29" s="5" t="s">
        <v>13</v>
      </c>
      <c r="M29" s="8">
        <v>1.25932861E9</v>
      </c>
      <c r="N29" s="8">
        <v>9.92886661E8</v>
      </c>
      <c r="O29" s="8">
        <v>8.33443027E8</v>
      </c>
      <c r="P29" s="8">
        <v>7.06666079E8</v>
      </c>
      <c r="Q29" s="8">
        <v>6.62938624E8</v>
      </c>
    </row>
    <row r="30" spans="8:8" ht="15.75" customHeight="1">
      <c r="L30" s="5" t="s">
        <v>49</v>
      </c>
      <c r="M30" s="8">
        <v>2.1017376E7</v>
      </c>
      <c r="N30" s="8">
        <v>2.0217974E7</v>
      </c>
      <c r="O30" s="8">
        <v>1.8235061E7</v>
      </c>
      <c r="P30" s="8">
        <v>1.6240514E7</v>
      </c>
      <c r="Q30" s="8">
        <v>1.4948796E7</v>
      </c>
    </row>
    <row r="31" spans="8:8" ht="15.75" customHeight="1">
      <c r="L31" s="5" t="s">
        <v>47</v>
      </c>
      <c r="M31" s="8">
        <v>4.1977144E7</v>
      </c>
      <c r="N31" s="8">
        <v>4.0118921E7</v>
      </c>
      <c r="O31" s="8">
        <v>2.954055E7</v>
      </c>
      <c r="P31" s="8">
        <v>2.4231551E7</v>
      </c>
      <c r="Q31" s="8">
        <v>2.2311366E7</v>
      </c>
    </row>
    <row r="32" spans="8:8" ht="15.75" customHeight="1">
      <c r="L32" s="5" t="s">
        <v>38</v>
      </c>
      <c r="M32" s="8">
        <v>3.2429546E7</v>
      </c>
      <c r="N32" s="8">
        <v>3.0275781E7</v>
      </c>
      <c r="O32" s="8">
        <v>2.2136522E7</v>
      </c>
      <c r="P32" s="8">
        <v>1.8609958E7</v>
      </c>
      <c r="Q32" s="8">
        <v>1.6195262E7</v>
      </c>
    </row>
    <row r="33" spans="8:8" ht="15.75" customHeight="1">
      <c r="L33" s="5" t="s">
        <v>192</v>
      </c>
      <c r="M33" s="8">
        <v>2.1320999E7</v>
      </c>
      <c r="N33" s="8">
        <v>2.0309105E7</v>
      </c>
      <c r="O33" s="8">
        <v>1.8377125E7</v>
      </c>
      <c r="P33" s="8">
        <v>1.5891521E7</v>
      </c>
      <c r="Q33" s="8">
        <v>1.5142197E7</v>
      </c>
    </row>
    <row r="34" spans="8:8" ht="15.75" customHeight="1">
      <c r="L34" s="5" t="s">
        <v>46</v>
      </c>
      <c r="M34" s="8">
        <v>9547598.0</v>
      </c>
      <c r="N34" s="8">
        <v>9843140.0</v>
      </c>
      <c r="O34" s="8">
        <v>7404028.0</v>
      </c>
      <c r="P34" s="8">
        <v>5621593.0</v>
      </c>
      <c r="Q34" s="8">
        <v>6116104.0</v>
      </c>
    </row>
    <row r="35" spans="8:8" ht="15.75" customHeight="1">
      <c r="L35" s="5" t="s">
        <v>51</v>
      </c>
      <c r="M35" s="28">
        <v>90139.0</v>
      </c>
      <c r="N35" s="28">
        <v>48149.0</v>
      </c>
      <c r="O35" s="28">
        <v>99947.0</v>
      </c>
      <c r="P35" s="28">
        <v>191067.0</v>
      </c>
      <c r="Q35" s="28">
        <v>23568.0</v>
      </c>
    </row>
    <row r="36" spans="8:8" ht="15.75" customHeight="1">
      <c r="L36" s="5" t="s">
        <v>53</v>
      </c>
      <c r="M36" s="28">
        <v>4983944.0</v>
      </c>
      <c r="N36" s="28">
        <v>1974747.0</v>
      </c>
      <c r="O36" s="28">
        <v>773275.0</v>
      </c>
      <c r="P36" s="28">
        <v>1460575.0</v>
      </c>
      <c r="Q36" s="28">
        <v>-1176432.0</v>
      </c>
    </row>
    <row r="37" spans="8:8" ht="15.75" customHeight="1">
      <c r="L37" s="5" t="s">
        <v>193</v>
      </c>
      <c r="M37" s="8">
        <v>2.1320999E7</v>
      </c>
      <c r="N37" s="8">
        <v>2.0309105E7</v>
      </c>
      <c r="O37" s="8">
        <v>1.8377125E7</v>
      </c>
      <c r="P37" s="8">
        <v>1.5891521E7</v>
      </c>
      <c r="Q37" s="8">
        <v>1.5142197E7</v>
      </c>
      <c r="R37" s="8"/>
    </row>
    <row r="38" spans="8:8" ht="15.75" customHeight="1">
      <c r="L38" s="5" t="s">
        <v>194</v>
      </c>
      <c r="M38" s="8">
        <f t="shared" si="9" ref="M38:Q38">SUM(M32-M37)</f>
        <v>1.1108547E7</v>
      </c>
      <c r="N38" s="8">
        <f t="shared" si="9"/>
        <v>9966676.0</v>
      </c>
      <c r="O38" s="8">
        <f t="shared" si="9"/>
        <v>3759397.0</v>
      </c>
      <c r="P38" s="8">
        <f t="shared" si="9"/>
        <v>2718437.0</v>
      </c>
      <c r="Q38" s="8">
        <f t="shared" si="9"/>
        <v>1053065.0</v>
      </c>
    </row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C1:I1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N101"/>
  <sheetViews>
    <sheetView tabSelected="1" workbookViewId="0" topLeftCell="A3" zoomScale="50">
      <selection activeCell="G77" sqref="G77"/>
    </sheetView>
  </sheetViews>
  <sheetFormatPr defaultRowHeight="15.0" customHeight="1" defaultColWidth="14"/>
  <cols>
    <col min="1" max="1" customWidth="1" width="64.28906" style="0"/>
    <col min="2" max="2" customWidth="1" width="13.566406" style="0"/>
    <col min="3" max="7" customWidth="1" width="15.859375" style="0"/>
    <col min="8" max="8" customWidth="1" width="29.566406" style="0"/>
    <col min="9" max="9" customWidth="1" width="17.429688" style="0"/>
    <col min="10" max="13" customWidth="1" width="15.859375" style="0"/>
  </cols>
  <sheetData>
    <row r="1" spans="8:8" ht="15.0">
      <c r="A1" s="64" t="s">
        <v>195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8:8" ht="15.0">
      <c r="A2" s="67"/>
      <c r="B2" s="67"/>
      <c r="C2" s="68">
        <v>2021.0</v>
      </c>
      <c r="D2" s="68">
        <v>2020.0</v>
      </c>
      <c r="E2" s="68">
        <v>2019.0</v>
      </c>
      <c r="F2" s="68">
        <v>2018.0</v>
      </c>
      <c r="G2" s="68">
        <v>2017.0</v>
      </c>
      <c r="H2" s="69"/>
      <c r="I2" s="69"/>
      <c r="J2" s="69"/>
      <c r="K2" s="69"/>
      <c r="L2" s="69"/>
      <c r="M2" s="69"/>
    </row>
    <row r="3" spans="8:8" ht="15.0">
      <c r="A3" s="67" t="s">
        <v>81</v>
      </c>
      <c r="B3" s="53"/>
      <c r="C3" s="70">
        <f t="shared" si="0" ref="C3:G3">B25/B26</f>
        <v>0.06524405935573226</v>
      </c>
      <c r="D3" s="70">
        <f t="shared" si="0"/>
        <v>0.07267382959450142</v>
      </c>
      <c r="E3" s="70">
        <f t="shared" si="0"/>
        <v>0.07543851352768509</v>
      </c>
      <c r="F3" s="70">
        <f t="shared" si="0"/>
        <v>0.0776931819493693</v>
      </c>
      <c r="G3" s="70">
        <f t="shared" si="0"/>
        <v>0.10341608820577447</v>
      </c>
      <c r="H3" s="69"/>
      <c r="I3" s="69"/>
      <c r="J3" s="69"/>
      <c r="K3" s="69"/>
      <c r="L3" s="69"/>
      <c r="M3" s="69"/>
    </row>
    <row r="4" spans="8:8" ht="15.0">
      <c r="A4" s="67" t="s">
        <v>82</v>
      </c>
      <c r="B4" s="53"/>
      <c r="C4" s="70">
        <f t="shared" si="1" ref="C4:G4">B27/B26</f>
        <v>0.010433798373482352</v>
      </c>
      <c r="D4" s="70">
        <f t="shared" si="1"/>
        <v>0.004994099190029095</v>
      </c>
      <c r="E4" s="70">
        <f t="shared" si="1"/>
        <v>0.00207346173781146</v>
      </c>
      <c r="F4" s="70">
        <f t="shared" si="1"/>
        <v>0.004256906371000194</v>
      </c>
      <c r="G4" s="70">
        <f t="shared" si="1"/>
        <v>-0.004547597379544964</v>
      </c>
      <c r="H4" s="69"/>
      <c r="I4" s="69"/>
      <c r="J4" s="69"/>
      <c r="K4" s="69"/>
      <c r="L4" s="69"/>
      <c r="M4" s="69"/>
    </row>
    <row r="5" spans="8:8" ht="15.0">
      <c r="A5" s="67" t="s">
        <v>146</v>
      </c>
      <c r="B5" s="53"/>
      <c r="C5" s="70">
        <f t="shared" si="2" ref="C5:G5">B28/B26</f>
        <v>0.059703874170226844</v>
      </c>
      <c r="D5" s="70">
        <f t="shared" si="2"/>
        <v>0.06277166211675446</v>
      </c>
      <c r="E5" s="70">
        <f t="shared" si="2"/>
        <v>0.06544782931086537</v>
      </c>
      <c r="F5" s="70">
        <f t="shared" si="2"/>
        <v>0.07319337186526167</v>
      </c>
      <c r="G5" s="70">
        <f t="shared" si="2"/>
        <v>0.10903793926676494</v>
      </c>
      <c r="H5" s="69"/>
      <c r="I5" s="69"/>
      <c r="J5" s="69"/>
      <c r="K5" s="69"/>
      <c r="L5" s="69"/>
      <c r="M5" s="69"/>
    </row>
    <row r="6" spans="8:8" ht="15.0">
      <c r="A6" s="67" t="s">
        <v>145</v>
      </c>
      <c r="B6" s="53"/>
      <c r="C6" s="70">
        <f t="shared" si="3" ref="C6:G6">B28/B30</f>
        <v>0.5088952680832199</v>
      </c>
      <c r="D6" s="70">
        <f t="shared" si="3"/>
        <v>0.45391997534805106</v>
      </c>
      <c r="E6" s="70">
        <f t="shared" si="3"/>
        <v>0.5756320612077921</v>
      </c>
      <c r="F6" s="70">
        <f t="shared" si="3"/>
        <v>0.7474077138635504</v>
      </c>
      <c r="G6" s="70">
        <f t="shared" si="3"/>
        <v>0.8667124429517119</v>
      </c>
      <c r="H6" s="69"/>
      <c r="I6" s="69"/>
      <c r="J6" s="69"/>
      <c r="K6" s="69"/>
      <c r="L6" s="69"/>
      <c r="M6" s="69"/>
    </row>
    <row r="7" spans="8:8" ht="15.0">
      <c r="A7" s="67" t="s">
        <v>147</v>
      </c>
      <c r="B7" s="53"/>
      <c r="C7" s="70">
        <f t="shared" si="4" ref="C7:G7">B31/B26</f>
        <v>0.06328223409694676</v>
      </c>
      <c r="D7" s="70">
        <f t="shared" si="4"/>
        <v>0.06688157869563491</v>
      </c>
      <c r="E7" s="70">
        <f t="shared" si="4"/>
        <v>0.0687376209353547</v>
      </c>
      <c r="F7" s="70">
        <f t="shared" si="4"/>
        <v>0.07622057490979632</v>
      </c>
      <c r="G7" s="70">
        <f t="shared" si="4"/>
        <v>0.09913903922426438</v>
      </c>
    </row>
    <row r="8" spans="8:8" ht="15.0">
      <c r="A8" s="67" t="s">
        <v>154</v>
      </c>
      <c r="B8" s="53"/>
      <c r="C8" s="70">
        <f t="shared" si="5" ref="C8:G8">B31/B30</f>
        <v>0.5393959761112173</v>
      </c>
      <c r="D8" s="70">
        <f t="shared" si="5"/>
        <v>0.48363996633216766</v>
      </c>
      <c r="E8" s="70">
        <f t="shared" si="5"/>
        <v>0.6045667035586352</v>
      </c>
      <c r="F8" s="70">
        <f t="shared" si="5"/>
        <v>0.7783197329338217</v>
      </c>
      <c r="G8" s="70">
        <f t="shared" si="5"/>
        <v>0.7880288224058354</v>
      </c>
    </row>
    <row r="9" spans="8:8" ht="15.0">
      <c r="A9" s="67" t="s">
        <v>156</v>
      </c>
      <c r="B9" s="53"/>
      <c r="C9" s="70">
        <f t="shared" si="6" ref="C9:G9">B25/B30</f>
        <v>0.5561178991836725</v>
      </c>
      <c r="D9" s="70">
        <f t="shared" si="6"/>
        <v>0.5255254015199902</v>
      </c>
      <c r="E9" s="70">
        <f t="shared" si="6"/>
        <v>0.663502938044487</v>
      </c>
      <c r="F9" s="70">
        <f t="shared" si="6"/>
        <v>0.7933571308951115</v>
      </c>
      <c r="G9" s="70">
        <f t="shared" si="6"/>
        <v>0.8220259026543855</v>
      </c>
    </row>
    <row r="10" spans="8:8" ht="15.0">
      <c r="A10" s="53"/>
      <c r="B10" s="53"/>
      <c r="C10" s="71"/>
      <c r="D10" s="71"/>
      <c r="E10" s="71"/>
      <c r="F10" s="71"/>
      <c r="G10" s="71"/>
    </row>
    <row r="11" spans="8:8" ht="15.0">
      <c r="A11" s="72" t="s">
        <v>196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4"/>
    </row>
    <row r="12" spans="8:8" ht="15.0">
      <c r="A12" s="67"/>
      <c r="B12" s="67"/>
      <c r="C12" s="68">
        <v>2021.0</v>
      </c>
      <c r="D12" s="68">
        <v>2020.0</v>
      </c>
      <c r="E12" s="68">
        <v>2019.0</v>
      </c>
      <c r="F12" s="68">
        <v>2018.0</v>
      </c>
      <c r="G12" s="68">
        <v>2017.0</v>
      </c>
    </row>
    <row r="13" spans="8:8" ht="15.0">
      <c r="A13" s="67" t="s">
        <v>197</v>
      </c>
      <c r="B13" s="53"/>
      <c r="C13" s="70">
        <f t="shared" si="7" ref="C13:G13">B29/B32</f>
        <v>0.0404263633778637</v>
      </c>
      <c r="D13" s="70">
        <f t="shared" si="7"/>
        <v>0.030257862432900587</v>
      </c>
      <c r="E13" s="70">
        <f t="shared" si="7"/>
        <v>0.026294676768589726</v>
      </c>
      <c r="F13" s="70">
        <f t="shared" si="7"/>
        <v>0.02938694189112196</v>
      </c>
      <c r="G13" s="70">
        <f t="shared" si="7"/>
        <v>0.07413288684775741</v>
      </c>
    </row>
    <row r="14" spans="8:8" ht="15.0">
      <c r="A14" s="67" t="s">
        <v>138</v>
      </c>
      <c r="B14" s="53"/>
      <c r="C14" s="70">
        <f t="shared" si="8" ref="C14:G14">B26/B32</f>
        <v>0.37930768681575494</v>
      </c>
      <c r="D14" s="70">
        <f t="shared" si="8"/>
        <v>0.3982489346787589</v>
      </c>
      <c r="E14" s="70">
        <f t="shared" si="8"/>
        <v>0.4474680451072992</v>
      </c>
      <c r="F14" s="70">
        <f t="shared" si="8"/>
        <v>0.48552938537184265</v>
      </c>
      <c r="G14" s="70">
        <f t="shared" si="8"/>
        <v>0.39022177413515735</v>
      </c>
    </row>
    <row r="15" spans="8:8" ht="15.0">
      <c r="A15" s="67" t="s">
        <v>140</v>
      </c>
      <c r="B15" s="53"/>
      <c r="C15" s="70">
        <f t="shared" si="9" ref="C15:G15">B33/B32</f>
        <v>0.07383971051050765</v>
      </c>
      <c r="D15" s="70">
        <f t="shared" si="9"/>
        <v>0.08243424774945184</v>
      </c>
      <c r="E15" s="70">
        <f t="shared" si="9"/>
        <v>0.08509998848427584</v>
      </c>
      <c r="F15" s="70">
        <f t="shared" si="9"/>
        <v>0.07539777071993857</v>
      </c>
      <c r="G15" s="70">
        <f t="shared" si="9"/>
        <v>0.0715498513479281</v>
      </c>
    </row>
    <row r="16" spans="8:8" ht="15.0">
      <c r="A16" s="67" t="s">
        <v>142</v>
      </c>
      <c r="B16" s="53"/>
      <c r="C16" s="70">
        <f t="shared" si="10" ref="C16:G16">B34/B32</f>
        <v>0.4916391107798305</v>
      </c>
      <c r="D16" s="70">
        <f t="shared" si="10"/>
        <v>0.4542914168528647</v>
      </c>
      <c r="E16" s="70">
        <f t="shared" si="10"/>
        <v>0.356618147097414</v>
      </c>
      <c r="F16" s="70">
        <f t="shared" si="10"/>
        <v>0.36986264201313107</v>
      </c>
      <c r="G16" s="70">
        <f t="shared" si="10"/>
        <v>0.47377403673496027</v>
      </c>
    </row>
    <row r="17" spans="8:8" ht="15.0">
      <c r="A17" s="53"/>
      <c r="B17" s="53"/>
      <c r="C17" s="71"/>
      <c r="D17" s="71"/>
      <c r="E17" s="71"/>
      <c r="F17" s="71"/>
      <c r="G17" s="71"/>
    </row>
    <row r="18" spans="8:8" ht="15.0">
      <c r="A18" s="72" t="s">
        <v>198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4"/>
    </row>
    <row r="19" spans="8:8" ht="15.0">
      <c r="A19" s="67"/>
      <c r="B19" s="67"/>
      <c r="C19" s="68">
        <v>2021.0</v>
      </c>
      <c r="D19" s="68">
        <v>2020.0</v>
      </c>
      <c r="E19" s="68">
        <v>2019.0</v>
      </c>
      <c r="F19" s="68">
        <v>2018.0</v>
      </c>
      <c r="G19" s="68">
        <v>2017.0</v>
      </c>
    </row>
    <row r="20" spans="8:8" ht="15.0">
      <c r="A20" s="67" t="s">
        <v>91</v>
      </c>
      <c r="B20" s="53"/>
      <c r="C20" s="75">
        <f t="shared" si="11" ref="C20:G20">B61/B62</f>
        <v>0.9204397682984428</v>
      </c>
      <c r="D20" s="75">
        <f t="shared" si="11"/>
        <v>0.8844635107853464</v>
      </c>
      <c r="E20" s="75">
        <f t="shared" si="11"/>
        <v>0.9354977385874752</v>
      </c>
      <c r="F20" s="75">
        <f t="shared" si="11"/>
        <v>0.9828575272536889</v>
      </c>
      <c r="G20" s="75">
        <f t="shared" si="11"/>
        <v>0.9394167626594645</v>
      </c>
    </row>
    <row r="21" spans="8:8" ht="15.75" customHeight="1">
      <c r="A21" s="67" t="s">
        <v>92</v>
      </c>
      <c r="B21" s="53"/>
      <c r="C21" s="75">
        <f t="shared" si="12" ref="C21:G21">B37/B40</f>
        <v>2.0145322434150774</v>
      </c>
      <c r="D21" s="75">
        <f t="shared" si="12"/>
        <v>1.8503634031637453</v>
      </c>
      <c r="E21" s="75">
        <f t="shared" si="12"/>
        <v>1.808522114347357</v>
      </c>
      <c r="F21" s="75">
        <f t="shared" si="12"/>
        <v>1.1116220735785953</v>
      </c>
      <c r="G21" s="75">
        <f t="shared" si="12"/>
        <v>1.332988089073019</v>
      </c>
    </row>
    <row r="22" spans="8:8" ht="12.0" customHeight="1">
      <c r="A22" s="53"/>
      <c r="B22" s="53"/>
      <c r="C22" s="71"/>
      <c r="D22" s="71"/>
      <c r="E22" s="71"/>
      <c r="F22" s="71"/>
      <c r="G22" s="71"/>
    </row>
    <row r="23" spans="8:8" ht="15.75" hidden="1" customHeight="1">
      <c r="A23" s="53"/>
      <c r="B23" s="53"/>
      <c r="C23" s="71"/>
      <c r="D23" s="71"/>
      <c r="E23" s="71"/>
      <c r="F23" s="71"/>
      <c r="G23" s="71"/>
    </row>
    <row r="24" spans="8:8" ht="15.75" hidden="1" customHeight="1">
      <c r="A24" s="67" t="s">
        <v>76</v>
      </c>
      <c r="B24" s="67">
        <v>2021.0</v>
      </c>
      <c r="C24" s="68">
        <v>2020.0</v>
      </c>
      <c r="D24" s="68">
        <v>2019.0</v>
      </c>
      <c r="E24" s="68">
        <v>2018.0</v>
      </c>
      <c r="F24" s="68">
        <v>2017.0</v>
      </c>
      <c r="G24" s="71"/>
      <c r="H24" s="5" t="s">
        <v>76</v>
      </c>
      <c r="I24" s="5">
        <v>2021.0</v>
      </c>
      <c r="J24" s="5">
        <v>2020.0</v>
      </c>
      <c r="K24" s="5">
        <v>2019.0</v>
      </c>
      <c r="L24" s="5">
        <v>2018.0</v>
      </c>
      <c r="M24" s="5">
        <v>2017.0</v>
      </c>
    </row>
    <row r="25" spans="8:8" ht="15.75" hidden="1" customHeight="1">
      <c r="A25" s="67" t="s">
        <v>199</v>
      </c>
      <c r="B25" s="76">
        <v>3.1165327E7</v>
      </c>
      <c r="C25" s="77">
        <v>2.8736399E7</v>
      </c>
      <c r="D25" s="77">
        <v>2.8133973E7</v>
      </c>
      <c r="E25" s="77">
        <v>2.6657086E7</v>
      </c>
      <c r="F25" s="77">
        <v>2.6753027E7</v>
      </c>
      <c r="G25" s="71"/>
      <c r="H25" s="5" t="s">
        <v>200</v>
      </c>
      <c r="I25" s="8">
        <v>1.222420697E9</v>
      </c>
      <c r="J25" s="8">
        <v>9.56675071E8</v>
      </c>
      <c r="K25" s="8">
        <v>7.8664286E8</v>
      </c>
      <c r="L25" s="8">
        <v>6.67452221E8</v>
      </c>
      <c r="M25" s="8">
        <v>6.33359777E8</v>
      </c>
    </row>
    <row r="26" spans="8:8" ht="15.75" hidden="1" customHeight="1">
      <c r="A26" s="67" t="s">
        <v>139</v>
      </c>
      <c r="B26" s="76">
        <v>4.77673022E8</v>
      </c>
      <c r="C26" s="77">
        <v>3.95416055E8</v>
      </c>
      <c r="D26" s="77">
        <v>3.72939122E8</v>
      </c>
      <c r="E26" s="77">
        <v>3.43107147E8</v>
      </c>
      <c r="F26" s="77">
        <v>2.58693086E8</v>
      </c>
      <c r="G26" s="71"/>
      <c r="H26" s="5" t="s">
        <v>201</v>
      </c>
      <c r="I26" s="8">
        <v>9.27695864E8</v>
      </c>
      <c r="J26" s="8">
        <v>9.04149338E8</v>
      </c>
      <c r="K26" s="8">
        <v>7.62804062E8</v>
      </c>
      <c r="L26" s="8">
        <v>6.22539224E8</v>
      </c>
      <c r="M26" s="8">
        <v>6.22539224E8</v>
      </c>
    </row>
    <row r="27" spans="8:8" ht="15.75" hidden="1" customHeight="1">
      <c r="A27" s="67" t="s">
        <v>202</v>
      </c>
      <c r="B27" s="76">
        <v>4983944.0</v>
      </c>
      <c r="C27" s="77">
        <v>1974747.0</v>
      </c>
      <c r="D27" s="78">
        <v>773275.0</v>
      </c>
      <c r="E27" s="78">
        <v>1460575.0</v>
      </c>
      <c r="F27" s="78">
        <v>-1176432.0</v>
      </c>
      <c r="G27" s="71"/>
      <c r="H27" s="5" t="s">
        <v>102</v>
      </c>
      <c r="I27" s="8">
        <v>6.10784723E11</v>
      </c>
      <c r="J27" s="8">
        <v>7.55250763E11</v>
      </c>
      <c r="K27" s="8">
        <v>3.89838134E11</v>
      </c>
      <c r="L27" s="8">
        <v>3.14057678E11</v>
      </c>
      <c r="M27" s="8">
        <v>2.88107323E11</v>
      </c>
    </row>
    <row r="28" spans="8:8" ht="15.75" hidden="1" customHeight="1">
      <c r="A28" s="67" t="s">
        <v>203</v>
      </c>
      <c r="B28" s="76">
        <v>2.851893E7</v>
      </c>
      <c r="C28" s="77">
        <v>2.4820923E7</v>
      </c>
      <c r="D28" s="77">
        <v>2.4408056E7</v>
      </c>
      <c r="E28" s="77">
        <v>2.5113169E7</v>
      </c>
      <c r="F28" s="77">
        <v>2.8207361E7</v>
      </c>
      <c r="G28" s="71"/>
      <c r="H28" s="5" t="s">
        <v>103</v>
      </c>
      <c r="I28" s="8">
        <v>1.01543E12</v>
      </c>
      <c r="J28" s="8">
        <v>7.91187E11</v>
      </c>
      <c r="K28" s="8">
        <v>6.79299486E11</v>
      </c>
      <c r="L28" s="8">
        <v>5.73635856E11</v>
      </c>
      <c r="M28" s="8">
        <v>5.25808308E11</v>
      </c>
    </row>
    <row r="29" spans="8:8" ht="15.75" hidden="1" customHeight="1">
      <c r="A29" s="67" t="s">
        <v>155</v>
      </c>
      <c r="B29" s="76">
        <v>5.0910076E7</v>
      </c>
      <c r="C29" s="77">
        <v>3.0042628E7</v>
      </c>
      <c r="D29" s="77">
        <v>2.1915115E7</v>
      </c>
      <c r="E29" s="77">
        <v>2.0766755E7</v>
      </c>
      <c r="F29" s="77">
        <v>4.9145554E7</v>
      </c>
      <c r="G29" s="71"/>
      <c r="H29" s="5" t="s">
        <v>204</v>
      </c>
      <c r="I29" s="6">
        <v>22.02</v>
      </c>
      <c r="J29" s="6">
        <v>23.39</v>
      </c>
      <c r="K29" s="6">
        <v>18.54</v>
      </c>
      <c r="L29" s="6">
        <v>23.92</v>
      </c>
      <c r="M29" s="6">
        <v>19.31</v>
      </c>
    </row>
    <row r="30" spans="8:8" ht="15.75" hidden="1" customHeight="1">
      <c r="A30" s="67" t="s">
        <v>33</v>
      </c>
      <c r="B30" s="76">
        <v>5.6040863E7</v>
      </c>
      <c r="C30" s="77">
        <v>5.4681275E7</v>
      </c>
      <c r="D30" s="77">
        <v>4.2402183E7</v>
      </c>
      <c r="E30" s="77">
        <v>3.3600361E7</v>
      </c>
      <c r="F30" s="77">
        <v>3.2545236E7</v>
      </c>
      <c r="G30" s="71"/>
      <c r="H30" s="5" t="s">
        <v>107</v>
      </c>
      <c r="I30" s="6">
        <v>7.7</v>
      </c>
      <c r="J30" s="6">
        <v>8.57</v>
      </c>
      <c r="K30" s="6">
        <v>5.57</v>
      </c>
      <c r="L30" s="6">
        <v>3.52</v>
      </c>
      <c r="M30" s="6">
        <v>4.18</v>
      </c>
    </row>
    <row r="31" spans="8:8" ht="15.75" hidden="1" customHeight="1">
      <c r="A31" s="67" t="s">
        <v>205</v>
      </c>
      <c r="B31" s="76">
        <v>3.0228216E7</v>
      </c>
      <c r="C31" s="77">
        <v>2.644605E7</v>
      </c>
      <c r="D31" s="77">
        <v>2.5634948E7</v>
      </c>
      <c r="E31" s="77">
        <v>2.6151824E7</v>
      </c>
      <c r="F31" s="77">
        <v>2.5646584E7</v>
      </c>
      <c r="G31" s="71"/>
      <c r="H31" s="5" t="s">
        <v>33</v>
      </c>
      <c r="I31" s="8">
        <v>5.6040863E7</v>
      </c>
      <c r="J31" s="8">
        <v>5.4681275E7</v>
      </c>
      <c r="K31" s="8">
        <v>4.2402183E7</v>
      </c>
      <c r="L31" s="8">
        <v>3.3600361E7</v>
      </c>
      <c r="M31" s="8">
        <v>3.2545236E7</v>
      </c>
    </row>
    <row r="32" spans="8:8" ht="15.75" hidden="1" customHeight="1">
      <c r="A32" s="67" t="s">
        <v>13</v>
      </c>
      <c r="B32" s="76">
        <v>1.25932861E9</v>
      </c>
      <c r="C32" s="77">
        <v>9.92886661E8</v>
      </c>
      <c r="D32" s="77">
        <v>8.33443027E8</v>
      </c>
      <c r="E32" s="77">
        <v>7.06666079E8</v>
      </c>
      <c r="F32" s="77">
        <v>6.62938624E8</v>
      </c>
      <c r="G32" s="71"/>
      <c r="H32" s="5" t="s">
        <v>13</v>
      </c>
      <c r="I32" s="8">
        <v>1.25932861E9</v>
      </c>
      <c r="J32" s="8">
        <v>9.92886661E8</v>
      </c>
      <c r="K32" s="8">
        <v>8.33443027E8</v>
      </c>
      <c r="L32" s="8">
        <v>7.06666079E8</v>
      </c>
      <c r="M32" s="8">
        <v>6.62938624E8</v>
      </c>
    </row>
    <row r="33" spans="8:8" ht="15.75" hidden="1" customHeight="1">
      <c r="A33" s="67" t="s">
        <v>141</v>
      </c>
      <c r="B33" s="76">
        <f>89432245+3556215</f>
        <v>9.298846E7</v>
      </c>
      <c r="C33" s="77">
        <f>73651718+8196147</f>
        <v>8.1847865E7</v>
      </c>
      <c r="D33" s="77">
        <f>63039290+7886702</f>
        <v>7.0925992E7</v>
      </c>
      <c r="E33" s="77">
        <f>49187645+4093402</f>
        <v>5.3281047E7</v>
      </c>
      <c r="F33" s="77">
        <f>44239325+3193835</f>
        <v>4.743316E7</v>
      </c>
      <c r="G33" s="71"/>
      <c r="H33" s="5" t="s">
        <v>155</v>
      </c>
      <c r="I33" s="8">
        <v>5.0910076E7</v>
      </c>
      <c r="J33" s="8">
        <v>3.0042628E7</v>
      </c>
      <c r="K33" s="8">
        <v>2.1915115E7</v>
      </c>
      <c r="L33" s="8">
        <v>2.0766755E7</v>
      </c>
      <c r="M33" s="8">
        <v>4.9145554E7</v>
      </c>
    </row>
    <row r="34" spans="8:8" ht="15.75" hidden="1" customHeight="1">
      <c r="A34" s="67" t="s">
        <v>143</v>
      </c>
      <c r="B34" s="76">
        <f>593924897+25210301</f>
        <v>6.19135198E8</v>
      </c>
      <c r="C34" s="77">
        <f>429738711+21321177</f>
        <v>4.51059888E8</v>
      </c>
      <c r="D34" s="77">
        <f>284916148+12304760</f>
        <v>2.97220908E8</v>
      </c>
      <c r="E34" s="77">
        <f>249064623+12304760</f>
        <v>2.61369383E8</v>
      </c>
      <c r="F34" s="77">
        <f>10995031+303088077</f>
        <v>3.14083108E8</v>
      </c>
      <c r="G34" s="71"/>
      <c r="H34" s="5" t="s">
        <v>22</v>
      </c>
      <c r="I34" s="8">
        <v>1.203287747E9</v>
      </c>
      <c r="J34" s="8">
        <v>9.38205386E8</v>
      </c>
      <c r="K34" s="8">
        <v>7.90898988E8</v>
      </c>
      <c r="L34" s="8">
        <v>6.72984205E8</v>
      </c>
      <c r="M34" s="8">
        <v>6.30252647E8</v>
      </c>
    </row>
    <row r="35" spans="8:8" ht="15.75" hidden="1" customHeight="1">
      <c r="A35" s="79" t="s">
        <v>94</v>
      </c>
      <c r="B35" s="80">
        <v>1.26026018E9</v>
      </c>
      <c r="C35" s="81">
        <v>1.26026018E9</v>
      </c>
      <c r="D35" s="81">
        <v>1.26026018E9</v>
      </c>
      <c r="E35" s="81">
        <v>1.26026018E9</v>
      </c>
      <c r="F35" s="81">
        <v>1.26026018E9</v>
      </c>
      <c r="G35" s="71"/>
      <c r="H35" s="5" t="s">
        <v>33</v>
      </c>
      <c r="I35" s="8">
        <v>5.6040863E7</v>
      </c>
      <c r="J35" s="8">
        <v>5.4681275E7</v>
      </c>
      <c r="K35" s="8">
        <v>4.2402183E7</v>
      </c>
      <c r="L35" s="8">
        <v>3.3600361E7</v>
      </c>
      <c r="M35" s="8">
        <v>3.2545236E7</v>
      </c>
    </row>
    <row r="36" spans="8:8" ht="15.75" hidden="1" customHeight="1">
      <c r="A36" s="79" t="s">
        <v>95</v>
      </c>
      <c r="B36" s="82">
        <v>44.36</v>
      </c>
      <c r="C36" s="83">
        <v>43.28</v>
      </c>
      <c r="D36" s="83">
        <v>33.53</v>
      </c>
      <c r="E36" s="83">
        <v>26.59</v>
      </c>
      <c r="F36" s="83">
        <v>25.74</v>
      </c>
      <c r="G36" s="71"/>
      <c r="H36" s="5" t="s">
        <v>6</v>
      </c>
      <c r="I36" s="8">
        <v>6.16231172E8</v>
      </c>
      <c r="J36" s="8">
        <v>4.49611987E8</v>
      </c>
      <c r="K36" s="8">
        <v>3.05435633E8</v>
      </c>
      <c r="L36" s="28">
        <v>2.60233987E8</v>
      </c>
      <c r="M36" s="8">
        <v>3.14956748E8</v>
      </c>
    </row>
    <row r="37" spans="8:8" ht="15.75" hidden="1" customHeight="1">
      <c r="A37" s="67" t="s">
        <v>206</v>
      </c>
      <c r="B37" s="53">
        <f t="shared" si="13" ref="B37:F37">B36*B35</f>
        <v>5.59051415848E10</v>
      </c>
      <c r="C37" s="71">
        <f t="shared" si="13"/>
        <v>5.45440605904E10</v>
      </c>
      <c r="D37" s="71">
        <f t="shared" si="13"/>
        <v>4.22565238354E10</v>
      </c>
      <c r="E37" s="71">
        <f t="shared" si="13"/>
        <v>3.35103181862E10</v>
      </c>
      <c r="F37" s="71">
        <f t="shared" si="13"/>
        <v>3.2439097033199997E10</v>
      </c>
      <c r="G37" s="71"/>
      <c r="H37" s="5" t="s">
        <v>47</v>
      </c>
      <c r="I37" s="8">
        <v>4.1977144E7</v>
      </c>
      <c r="J37" s="8">
        <v>4.0118921E7</v>
      </c>
      <c r="K37" s="8">
        <v>2.954055E7</v>
      </c>
      <c r="L37" s="8">
        <v>2.4231551E7</v>
      </c>
      <c r="M37" s="8">
        <v>2.2311366E7</v>
      </c>
    </row>
    <row r="38" spans="8:8" ht="15.75" hidden="1" customHeight="1">
      <c r="A38" s="79" t="s">
        <v>93</v>
      </c>
      <c r="B38" s="79">
        <v>22.02</v>
      </c>
      <c r="C38" s="84">
        <v>23.39</v>
      </c>
      <c r="D38" s="84">
        <v>18.54</v>
      </c>
      <c r="E38" s="84">
        <v>23.92</v>
      </c>
      <c r="F38" s="84">
        <v>19.31</v>
      </c>
      <c r="G38" s="71"/>
      <c r="H38" s="5" t="s">
        <v>49</v>
      </c>
      <c r="I38" s="8">
        <v>2.1017376E7</v>
      </c>
      <c r="J38" s="8">
        <v>2.0217974E7</v>
      </c>
      <c r="K38" s="8">
        <v>1.8235061E7</v>
      </c>
      <c r="L38" s="8">
        <v>1.6240514E7</v>
      </c>
      <c r="M38" s="8">
        <v>1.4948796E7</v>
      </c>
    </row>
    <row r="39" spans="8:8" ht="15.75" hidden="1" customHeight="1">
      <c r="A39" s="79" t="s">
        <v>94</v>
      </c>
      <c r="B39" s="80">
        <v>1.26026018E9</v>
      </c>
      <c r="C39" s="81">
        <v>1.26026018E9</v>
      </c>
      <c r="D39" s="81">
        <v>1.26026018E9</v>
      </c>
      <c r="E39" s="81">
        <v>1.26026018E9</v>
      </c>
      <c r="F39" s="81">
        <v>1.26026018E9</v>
      </c>
      <c r="G39" s="71"/>
      <c r="H39" s="5" t="s">
        <v>207</v>
      </c>
      <c r="I39" s="8">
        <v>7478.0</v>
      </c>
      <c r="J39" s="8">
        <v>7658.0</v>
      </c>
      <c r="K39" s="8">
        <v>7534.0</v>
      </c>
      <c r="L39" s="8">
        <v>7538.0</v>
      </c>
      <c r="M39" s="8">
        <v>7848.0</v>
      </c>
    </row>
    <row r="40" spans="8:8" ht="15.75" hidden="1" customHeight="1">
      <c r="A40" s="67" t="s">
        <v>208</v>
      </c>
      <c r="B40" s="53">
        <f t="shared" si="14" ref="B40:F40">B38*B39</f>
        <v>2.77509291636E10</v>
      </c>
      <c r="C40" s="71">
        <f t="shared" si="14"/>
        <v>2.94774856102E10</v>
      </c>
      <c r="D40" s="71">
        <f t="shared" si="14"/>
        <v>2.33652237372E10</v>
      </c>
      <c r="E40" s="71">
        <f t="shared" si="14"/>
        <v>3.0145423505600002E10</v>
      </c>
      <c r="F40" s="71">
        <f t="shared" si="14"/>
        <v>2.43356240758E10</v>
      </c>
      <c r="G40" s="71"/>
      <c r="H40" s="5" t="s">
        <v>199</v>
      </c>
      <c r="I40" s="8">
        <v>9715733.0</v>
      </c>
      <c r="J40" s="8">
        <v>1.0856997E7</v>
      </c>
      <c r="K40" s="8">
        <v>7017901.0</v>
      </c>
      <c r="L40" s="8">
        <v>4431278.0</v>
      </c>
      <c r="M40" s="8">
        <v>5121686.0</v>
      </c>
    </row>
    <row r="41" spans="8:8" ht="15.75" customHeight="1">
      <c r="A41" s="53"/>
      <c r="B41" s="53"/>
      <c r="C41" s="71"/>
      <c r="D41" s="71"/>
      <c r="E41" s="71"/>
      <c r="F41" s="71"/>
      <c r="G41" s="71"/>
    </row>
    <row r="42" spans="8:8" ht="15.75" customHeight="1">
      <c r="A42" s="85" t="s">
        <v>131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6"/>
    </row>
    <row r="43" spans="8:8" ht="15.75" customHeight="1">
      <c r="A43" s="86"/>
      <c r="B43" s="87"/>
      <c r="C43" s="86">
        <v>2021.0</v>
      </c>
      <c r="D43" s="86">
        <v>2020.0</v>
      </c>
      <c r="E43" s="86">
        <v>2019.0</v>
      </c>
      <c r="F43" s="86">
        <v>2018.0</v>
      </c>
      <c r="G43" s="86">
        <v>2017.0</v>
      </c>
      <c r="H43" s="6"/>
      <c r="I43" s="6"/>
      <c r="J43" s="6"/>
      <c r="K43" s="6"/>
      <c r="L43" s="6"/>
    </row>
    <row r="44" spans="8:8" ht="15.75" customHeight="1">
      <c r="A44" s="88" t="s">
        <v>209</v>
      </c>
      <c r="B44" s="87"/>
      <c r="C44" s="89">
        <f t="shared" si="15" ref="C44:G44">I25/I26</f>
        <v>1.3176955341044831</v>
      </c>
      <c r="D44" s="89">
        <f t="shared" si="15"/>
        <v>1.0580940899831748</v>
      </c>
      <c r="E44" s="89">
        <f t="shared" si="15"/>
        <v>1.0312515352074776</v>
      </c>
      <c r="F44" s="89">
        <f t="shared" si="15"/>
        <v>1.0721448468924104</v>
      </c>
      <c r="G44" s="89">
        <f t="shared" si="15"/>
        <v>1.0173813192532266</v>
      </c>
      <c r="H44" s="6"/>
      <c r="I44" s="6"/>
      <c r="J44" s="6"/>
      <c r="K44" s="6"/>
      <c r="L44" s="6"/>
    </row>
    <row r="45" spans="8:8" ht="15.75" customHeight="1">
      <c r="A45" s="88" t="s">
        <v>100</v>
      </c>
      <c r="B45" s="87"/>
      <c r="C45" s="90">
        <f t="shared" si="16" ref="C45:G45">I27/I28</f>
        <v>0.6015035236303832</v>
      </c>
      <c r="D45" s="90">
        <f t="shared" si="16"/>
        <v>0.9545793383865003</v>
      </c>
      <c r="E45" s="90">
        <f t="shared" si="16"/>
        <v>0.5738825687849851</v>
      </c>
      <c r="F45" s="90">
        <f t="shared" si="16"/>
        <v>0.5474861355249732</v>
      </c>
      <c r="G45" s="90">
        <f t="shared" si="16"/>
        <v>0.5479322380733475</v>
      </c>
      <c r="H45" s="6"/>
      <c r="I45" s="6"/>
      <c r="J45" s="6"/>
      <c r="K45" s="6"/>
      <c r="L45" s="6"/>
    </row>
    <row r="46" spans="8:8" ht="15.75" customHeight="1">
      <c r="A46" s="91"/>
      <c r="B46" s="92"/>
      <c r="C46" s="92"/>
      <c r="D46" s="92"/>
      <c r="E46" s="92"/>
      <c r="F46" s="92"/>
      <c r="G46" s="87"/>
      <c r="H46" s="6"/>
      <c r="I46" s="6"/>
      <c r="J46" s="6"/>
      <c r="K46" s="6"/>
      <c r="L46" s="6"/>
    </row>
    <row r="47" spans="8:8" ht="15.75" customHeight="1">
      <c r="A47" s="93" t="s">
        <v>135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6"/>
    </row>
    <row r="48" spans="8:8" ht="15.75" customHeight="1">
      <c r="A48" s="94"/>
      <c r="B48" s="87"/>
      <c r="C48" s="95">
        <v>2021.0</v>
      </c>
      <c r="D48" s="95">
        <v>2020.0</v>
      </c>
      <c r="E48" s="95">
        <v>2019.0</v>
      </c>
      <c r="F48" s="95">
        <v>2018.0</v>
      </c>
      <c r="G48" s="95">
        <v>2017.0</v>
      </c>
      <c r="H48" s="6"/>
      <c r="I48" s="6"/>
      <c r="J48" s="6"/>
      <c r="K48" s="6"/>
      <c r="L48" s="6"/>
    </row>
    <row r="49" spans="8:8" ht="15.75" customHeight="1">
      <c r="A49" s="94" t="s">
        <v>104</v>
      </c>
      <c r="B49" s="87"/>
      <c r="C49" s="96">
        <f t="shared" si="17" ref="C49:G49">I29/I30</f>
        <v>2.8597402597402595</v>
      </c>
      <c r="D49" s="96">
        <f t="shared" si="17"/>
        <v>2.7292882147024504</v>
      </c>
      <c r="E49" s="96">
        <f t="shared" si="17"/>
        <v>3.328545780969479</v>
      </c>
      <c r="F49" s="96">
        <f t="shared" si="17"/>
        <v>6.795454545454546</v>
      </c>
      <c r="G49" s="96">
        <f t="shared" si="17"/>
        <v>4.619617224880383</v>
      </c>
      <c r="H49" s="6"/>
      <c r="I49" s="6"/>
      <c r="J49" s="6"/>
      <c r="K49" s="6"/>
      <c r="L49" s="6"/>
    </row>
    <row r="50" spans="8:8" ht="15.75" customHeight="1">
      <c r="A50" s="94" t="s">
        <v>137</v>
      </c>
      <c r="B50" s="87"/>
      <c r="C50" s="97">
        <f t="shared" si="18" ref="C50:G50">I31/I32</f>
        <v>0.044500587499556606</v>
      </c>
      <c r="D50" s="97">
        <f t="shared" si="18"/>
        <v>0.05507302811876531</v>
      </c>
      <c r="E50" s="97">
        <f t="shared" si="18"/>
        <v>0.05087592268019539</v>
      </c>
      <c r="F50" s="97">
        <f t="shared" si="18"/>
        <v>0.0475477202012409</v>
      </c>
      <c r="G50" s="97">
        <f t="shared" si="18"/>
        <v>0.0490923817406059</v>
      </c>
      <c r="H50" s="6"/>
      <c r="I50" s="6"/>
      <c r="J50" s="6"/>
      <c r="K50" s="6"/>
      <c r="L50" s="6"/>
    </row>
    <row r="51" spans="8:8" ht="15.75" customHeight="1">
      <c r="A51" s="94" t="s">
        <v>152</v>
      </c>
      <c r="B51" s="87"/>
      <c r="C51" s="97">
        <f t="shared" si="19" ref="C51:G51">I33/I34</f>
        <v>0.042309145195675295</v>
      </c>
      <c r="D51" s="97">
        <f t="shared" si="19"/>
        <v>0.032021376607189934</v>
      </c>
      <c r="E51" s="97">
        <f t="shared" si="19"/>
        <v>0.027709120042520526</v>
      </c>
      <c r="F51" s="97">
        <f t="shared" si="19"/>
        <v>0.030857715301059702</v>
      </c>
      <c r="G51" s="97">
        <f t="shared" si="19"/>
        <v>0.07797754477340577</v>
      </c>
      <c r="H51" s="6"/>
      <c r="I51" s="6"/>
      <c r="J51" s="6"/>
      <c r="K51" s="6"/>
      <c r="L51" s="6"/>
    </row>
    <row r="52" spans="8:8" ht="15.75" customHeight="1">
      <c r="A52" s="94" t="s">
        <v>153</v>
      </c>
      <c r="B52" s="87"/>
      <c r="C52" s="97">
        <f>I35/I36</f>
        <v>0.09094129856838855</v>
      </c>
      <c r="D52" s="97">
        <f>J35/J36</f>
        <v>0.12161881039884286</v>
      </c>
      <c r="E52" s="97">
        <f>K35/K36</f>
        <v>0.13882526600948358</v>
      </c>
      <c r="F52" s="97">
        <f>L35/L36</f>
        <v>0.12911595978429982</v>
      </c>
      <c r="G52" s="97">
        <f>M35/M36</f>
        <v>0.10333239788213713</v>
      </c>
      <c r="H52" s="6"/>
      <c r="I52" s="6"/>
      <c r="J52" s="6"/>
      <c r="K52" s="6"/>
      <c r="L52" s="6"/>
    </row>
    <row r="53" spans="8:8" ht="18.75" customHeight="1">
      <c r="A53" s="94" t="s">
        <v>210</v>
      </c>
      <c r="B53" s="87"/>
      <c r="C53" s="97">
        <v>0.1338</v>
      </c>
      <c r="D53" s="97">
        <v>0.1548</v>
      </c>
      <c r="E53" s="97">
        <v>0.1338</v>
      </c>
      <c r="F53" s="97">
        <v>0.1251</v>
      </c>
      <c r="G53" s="97">
        <v>0.1209</v>
      </c>
      <c r="H53" s="6"/>
      <c r="I53" s="6"/>
      <c r="J53" s="6"/>
      <c r="K53" s="6"/>
      <c r="L53" s="6"/>
    </row>
    <row r="54" spans="8:8" ht="18.75" customHeight="1">
      <c r="A54" s="91"/>
      <c r="B54" s="87"/>
      <c r="C54" s="87"/>
      <c r="D54" s="87"/>
      <c r="E54" s="87"/>
      <c r="F54" s="87"/>
      <c r="G54" s="87"/>
      <c r="H54" s="6"/>
      <c r="I54" s="6"/>
      <c r="J54" s="6"/>
      <c r="K54" s="6"/>
      <c r="L54" s="6"/>
    </row>
    <row r="55" spans="8:8" ht="15.75" customHeight="1">
      <c r="A55" s="93" t="s">
        <v>211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6"/>
    </row>
    <row r="56" spans="8:8" ht="15.75" customHeight="1">
      <c r="A56" s="88"/>
      <c r="B56" s="87"/>
      <c r="C56" s="86">
        <v>2021.0</v>
      </c>
      <c r="D56" s="86">
        <v>2020.0</v>
      </c>
      <c r="E56" s="86">
        <v>2019.0</v>
      </c>
      <c r="F56" s="86">
        <v>2018.0</v>
      </c>
      <c r="G56" s="86">
        <v>2017.0</v>
      </c>
      <c r="H56" s="6"/>
      <c r="I56" s="6"/>
      <c r="J56" s="6"/>
      <c r="K56" s="6"/>
      <c r="L56" s="6"/>
    </row>
    <row r="57" spans="8:8" ht="15.75" customHeight="1">
      <c r="A57" s="98" t="s">
        <v>212</v>
      </c>
      <c r="B57" s="87"/>
      <c r="C57" s="90">
        <f t="shared" si="20" ref="C57:G57">I38/I37</f>
        <v>0.5006861829380294</v>
      </c>
      <c r="D57" s="90">
        <f t="shared" si="20"/>
        <v>0.5039510908082498</v>
      </c>
      <c r="E57" s="90">
        <f t="shared" si="20"/>
        <v>0.6172891499988998</v>
      </c>
      <c r="F57" s="90">
        <f t="shared" si="20"/>
        <v>0.6702218112245477</v>
      </c>
      <c r="G57" s="90">
        <f t="shared" si="20"/>
        <v>0.6700081025966765</v>
      </c>
      <c r="H57" s="6"/>
      <c r="I57" s="6"/>
      <c r="J57" s="6"/>
      <c r="K57" s="6"/>
      <c r="L57" s="6"/>
    </row>
    <row r="58" spans="8:8" ht="15.75" customHeight="1">
      <c r="A58" s="88" t="s">
        <v>213</v>
      </c>
      <c r="B58" s="87"/>
      <c r="C58" s="89">
        <f t="shared" si="21" ref="C58:G58">I40/I39</f>
        <v>1299.2421770526878</v>
      </c>
      <c r="D58" s="89">
        <f t="shared" si="21"/>
        <v>1417.7326978323322</v>
      </c>
      <c r="E58" s="89">
        <f t="shared" si="21"/>
        <v>931.4973453676665</v>
      </c>
      <c r="F58" s="89">
        <f t="shared" si="21"/>
        <v>587.858583178562</v>
      </c>
      <c r="G58" s="89">
        <f t="shared" si="21"/>
        <v>652.6103465851172</v>
      </c>
      <c r="H58" s="6"/>
      <c r="I58" s="6"/>
      <c r="J58" s="6"/>
      <c r="K58" s="6"/>
      <c r="L58" s="6"/>
    </row>
    <row r="59" spans="8:8" ht="15.75" customHeight="1">
      <c r="A59" s="91"/>
      <c r="B59" s="87"/>
      <c r="C59" s="87"/>
      <c r="D59" s="87"/>
      <c r="E59" s="87"/>
      <c r="F59" s="87"/>
      <c r="G59" s="87"/>
    </row>
    <row r="60" spans="8:8" ht="15.75" hidden="1" customHeight="1">
      <c r="B60" s="6">
        <v>2021.0</v>
      </c>
      <c r="C60">
        <v>2020.0</v>
      </c>
      <c r="D60">
        <v>2019.0</v>
      </c>
      <c r="E60">
        <v>2018.0</v>
      </c>
      <c r="F60">
        <v>2017.0</v>
      </c>
    </row>
    <row r="61" spans="8:8" ht="15.75" hidden="1" customHeight="1">
      <c r="A61" t="s">
        <v>214</v>
      </c>
      <c r="B61" s="8">
        <v>1.159136134E9</v>
      </c>
      <c r="C61" s="8">
        <v>8.78172022E8</v>
      </c>
      <c r="D61" s="8">
        <v>7.79684067E8</v>
      </c>
      <c r="E61" s="8">
        <v>6.94552075E8</v>
      </c>
      <c r="F61" s="8">
        <v>6.22775656E8</v>
      </c>
    </row>
    <row r="62" spans="8:8" ht="15.75" hidden="1" customHeight="1">
      <c r="A62" s="6" t="s">
        <v>215</v>
      </c>
      <c r="B62" s="8">
        <v>1.25932861E9</v>
      </c>
      <c r="C62" s="8">
        <v>9.92886661E8</v>
      </c>
      <c r="D62" s="8">
        <v>8.33443027E8</v>
      </c>
      <c r="E62" s="8">
        <v>7.06666079E8</v>
      </c>
      <c r="F62" s="8">
        <v>6.62938624E8</v>
      </c>
    </row>
    <row r="63" spans="8:8" ht="17.25" customHeight="1">
      <c r="A63" s="99" t="s">
        <v>216</v>
      </c>
      <c r="B63" s="6"/>
      <c r="H63" s="97"/>
    </row>
    <row r="64" spans="8:8" ht="15.75" customHeight="1">
      <c r="A64" s="100" t="s">
        <v>81</v>
      </c>
      <c r="B64" s="101">
        <v>0.06524405935573226</v>
      </c>
      <c r="C64" s="101">
        <v>0.07267382959450142</v>
      </c>
      <c r="D64" s="101">
        <v>0.07543851352768509</v>
      </c>
      <c r="E64" s="101">
        <v>0.0776931819493693</v>
      </c>
      <c r="F64" s="101">
        <v>0.10341608820577447</v>
      </c>
    </row>
    <row r="65" spans="8:8" ht="15.75" customHeight="1">
      <c r="A65" s="100" t="s">
        <v>100</v>
      </c>
      <c r="B65" s="101">
        <v>0.6015035236303832</v>
      </c>
      <c r="C65" s="101">
        <v>0.9545793383865003</v>
      </c>
      <c r="D65" s="101">
        <v>0.5738825687849851</v>
      </c>
      <c r="E65" s="101">
        <v>0.5474861355249732</v>
      </c>
      <c r="F65" s="101">
        <v>0.5479322380733475</v>
      </c>
    </row>
    <row r="66" spans="8:8" ht="15.75" customHeight="1">
      <c r="A66" s="100" t="s">
        <v>213</v>
      </c>
      <c r="B66" s="100">
        <v>1299.2421770526878</v>
      </c>
      <c r="C66" s="100">
        <v>1417.7326978323322</v>
      </c>
      <c r="D66" s="100">
        <v>931.4973453676665</v>
      </c>
      <c r="E66" s="100">
        <v>587.858583178562</v>
      </c>
      <c r="F66" s="100">
        <v>652.6103465851172</v>
      </c>
    </row>
    <row r="67" spans="8:8" ht="15.75" customHeight="1">
      <c r="B67" s="6"/>
    </row>
    <row r="68" spans="8:8" ht="15.75" customHeight="1">
      <c r="B68" s="6"/>
    </row>
    <row r="69" spans="8:8" ht="15.75" customHeight="1">
      <c r="B69" s="6"/>
    </row>
    <row r="70" spans="8:8" ht="15.75" customHeight="1">
      <c r="B70" s="6"/>
    </row>
    <row r="71" spans="8:8" ht="15.75" customHeight="1">
      <c r="B71" s="6"/>
    </row>
    <row r="72" spans="8:8" ht="15.75" customHeight="1">
      <c r="B72" s="6"/>
    </row>
    <row r="73" spans="8:8" ht="15.75" customHeight="1">
      <c r="B73" s="6"/>
    </row>
    <row r="74" spans="8:8" ht="15.75" customHeight="1">
      <c r="B74" s="6"/>
    </row>
    <row r="75" spans="8:8" ht="15.75" customHeight="1">
      <c r="B75" s="6"/>
    </row>
    <row r="76" spans="8:8" ht="15.75" customHeight="1">
      <c r="B76" s="6"/>
    </row>
    <row r="77" spans="8:8" ht="15.75" customHeight="1">
      <c r="B77" s="6"/>
    </row>
    <row r="78" spans="8:8" ht="15.75" customHeight="1">
      <c r="B78" s="6"/>
    </row>
    <row r="79" spans="8:8" ht="15.75" customHeight="1">
      <c r="B79" s="6"/>
    </row>
    <row r="80" spans="8:8" ht="15.75" customHeight="1">
      <c r="B80" s="6"/>
    </row>
    <row r="81" spans="8:8" ht="15.75" customHeight="1">
      <c r="B81" s="6"/>
    </row>
    <row r="82" spans="8:8" ht="15.75" customHeight="1">
      <c r="B82" s="6"/>
      <c r="M82" s="97"/>
    </row>
    <row r="83" spans="8:8" ht="15.75" customHeight="1">
      <c r="B83" s="6"/>
    </row>
    <row r="84" spans="8:8" ht="15.75" customHeight="1">
      <c r="B84" s="6"/>
    </row>
    <row r="85" spans="8:8" ht="15.75" customHeight="1">
      <c r="B85" s="6"/>
    </row>
    <row r="86" spans="8:8" ht="15.75" customHeight="1">
      <c r="B86" s="6"/>
    </row>
    <row r="87" spans="8:8" ht="15.75" customHeight="1">
      <c r="B87" s="6"/>
    </row>
    <row r="88" spans="8:8" ht="15.75" customHeight="1">
      <c r="B88" s="6"/>
    </row>
    <row r="89" spans="8:8" ht="15.75" customHeight="1">
      <c r="B89" s="6"/>
    </row>
    <row r="90" spans="8:8" ht="15.75" customHeight="1">
      <c r="B90" s="6"/>
    </row>
    <row r="91" spans="8:8" ht="15.75" customHeight="1">
      <c r="B91" s="6"/>
    </row>
    <row r="92" spans="8:8" ht="15.75" customHeight="1">
      <c r="B92" s="6"/>
    </row>
    <row r="93" spans="8:8" ht="15.75" customHeight="1">
      <c r="B93" s="6"/>
    </row>
    <row r="94" spans="8:8" ht="15.75" customHeight="1">
      <c r="B94" s="6"/>
    </row>
    <row r="95" spans="8:8" ht="15.75" customHeight="1">
      <c r="B95" s="6"/>
    </row>
    <row r="96" spans="8:8" ht="15.75" customHeight="1">
      <c r="B96" s="6"/>
    </row>
    <row r="97" spans="8:8" ht="15.75" customHeight="1">
      <c r="B97" s="6"/>
    </row>
    <row r="98" spans="8:8" ht="15.75" customHeight="1">
      <c r="B98" s="6"/>
    </row>
    <row r="99" spans="8:8" ht="15.75" customHeight="1">
      <c r="B99" s="6"/>
    </row>
    <row r="100" spans="8:8" ht="15.75" customHeight="1">
      <c r="B100" s="6"/>
    </row>
    <row r="101" spans="8:8" ht="15.75" customHeight="1">
      <c r="B101" s="6"/>
    </row>
  </sheetData>
  <mergeCells count="6">
    <mergeCell ref="A55:M55"/>
    <mergeCell ref="A42:M42"/>
    <mergeCell ref="A47:M47"/>
    <mergeCell ref="A18:M18"/>
    <mergeCell ref="A1:M1"/>
    <mergeCell ref="A11:M11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AS76"/>
  <sheetViews>
    <sheetView workbookViewId="0">
      <selection activeCell="A1" sqref="A1"/>
    </sheetView>
  </sheetViews>
  <sheetFormatPr defaultRowHeight="15.0" customHeight="1" defaultColWidth="14"/>
  <cols>
    <col min="1" max="1" customWidth="1" width="41.566406" style="0"/>
    <col min="2" max="2" customWidth="1" width="26.859375" style="0"/>
    <col min="3" max="6" customWidth="1" width="14.4296875" style="0"/>
    <col min="8" max="8" customWidth="1" width="21.707031" style="0"/>
    <col min="9" max="9" customWidth="1" width="17.136719" style="0"/>
    <col min="10" max="10" customWidth="1" width="28.707031" style="0"/>
    <col min="11" max="12" customWidth="1" width="17.136719" style="0"/>
    <col min="13" max="13" customWidth="1" width="7.0" style="0"/>
    <col min="14" max="15" hidden="1" customWidth="1" width="9.0" style="0"/>
    <col min="16" max="17" hidden="1" customWidth="1" width="7.0" style="0"/>
    <col min="18" max="18" hidden="1" customWidth="1" width="20.429688" style="0"/>
    <col min="19" max="19" customWidth="1" width="14.859375" style="0"/>
    <col min="20" max="23" customWidth="1" width="13.0" style="0"/>
    <col min="24" max="24" hidden="1" customWidth="1" width="28.707031" style="0"/>
    <col min="25" max="25" hidden="1" customWidth="1" width="13.4296875" style="0"/>
    <col min="26" max="27" hidden="1" customWidth="1" width="13.0" style="0"/>
    <col min="28" max="28" hidden="1" customWidth="1" width="12.566406" style="0"/>
    <col min="29" max="29" hidden="1" customWidth="1" width="13.4296875" style="0"/>
    <col min="31" max="31" customWidth="1" width="26.0" style="0"/>
    <col min="32" max="36" customWidth="1" width="13.0" style="0"/>
    <col min="39" max="44" hidden="1" customWidth="0" width="14.4296875" style="0"/>
  </cols>
  <sheetData>
    <row r="1" spans="8:8" ht="15.0">
      <c r="A1" s="102" t="s">
        <v>217</v>
      </c>
      <c r="B1" s="103">
        <v>2021.0</v>
      </c>
      <c r="C1" s="103">
        <v>2020.0</v>
      </c>
      <c r="D1" s="103">
        <v>2019.0</v>
      </c>
      <c r="E1" s="103">
        <v>2018.0</v>
      </c>
      <c r="F1" s="103">
        <v>2017.0</v>
      </c>
      <c r="H1" s="104" t="s">
        <v>218</v>
      </c>
      <c r="I1" s="103">
        <v>2021.0</v>
      </c>
      <c r="J1" s="103">
        <v>2020.0</v>
      </c>
      <c r="K1" s="103">
        <v>2019.0</v>
      </c>
      <c r="L1" s="103">
        <v>2018.0</v>
      </c>
      <c r="M1" s="103">
        <v>2017.0</v>
      </c>
      <c r="N1" s="103">
        <v>2017.0</v>
      </c>
      <c r="O1" s="103">
        <v>2018.0</v>
      </c>
      <c r="P1" s="103">
        <v>2019.0</v>
      </c>
      <c r="Q1" s="103">
        <v>2020.0</v>
      </c>
      <c r="R1" s="103">
        <v>2021.0</v>
      </c>
    </row>
    <row r="2" spans="8:8" ht="15.0">
      <c r="A2" s="105"/>
      <c r="B2" s="106">
        <v>0.1338</v>
      </c>
      <c r="C2" s="106">
        <v>0.1548</v>
      </c>
      <c r="D2" s="106">
        <v>0.1338</v>
      </c>
      <c r="E2" s="106">
        <v>0.1251</v>
      </c>
      <c r="F2" s="106">
        <v>0.1209</v>
      </c>
      <c r="H2" s="104" t="s">
        <v>219</v>
      </c>
      <c r="I2" s="107">
        <v>0.2</v>
      </c>
      <c r="J2" s="107">
        <v>0.2</v>
      </c>
      <c r="K2" s="107">
        <v>0.2</v>
      </c>
      <c r="L2" s="107">
        <v>0.2</v>
      </c>
      <c r="M2" s="107">
        <v>0.2</v>
      </c>
      <c r="N2" s="108">
        <v>0.2</v>
      </c>
      <c r="O2" s="108">
        <v>0.2</v>
      </c>
      <c r="P2" s="108">
        <v>0.2</v>
      </c>
      <c r="Q2" s="108">
        <v>0.2</v>
      </c>
      <c r="R2" s="108">
        <v>0.2</v>
      </c>
    </row>
    <row r="3" spans="8:8" ht="15.0">
      <c r="A3" s="104" t="s">
        <v>220</v>
      </c>
      <c r="B3" s="109">
        <v>1.0</v>
      </c>
      <c r="C3" s="109">
        <v>1.0</v>
      </c>
      <c r="D3" s="109">
        <v>1.0</v>
      </c>
      <c r="E3" s="109">
        <v>1.0</v>
      </c>
      <c r="F3" s="109">
        <v>1.0</v>
      </c>
      <c r="H3" s="104" t="s">
        <v>221</v>
      </c>
      <c r="I3" s="107">
        <v>0.2</v>
      </c>
      <c r="J3" s="107">
        <v>0.2</v>
      </c>
      <c r="K3" s="107">
        <v>0.2</v>
      </c>
      <c r="L3" s="107">
        <v>0.2</v>
      </c>
      <c r="M3" s="107">
        <v>0.2</v>
      </c>
      <c r="N3" s="108">
        <v>0.2</v>
      </c>
      <c r="O3" s="108">
        <v>0.2</v>
      </c>
      <c r="P3" s="108">
        <v>0.2</v>
      </c>
      <c r="Q3" s="108">
        <v>0.2</v>
      </c>
      <c r="R3" s="108">
        <v>0.2</v>
      </c>
    </row>
    <row r="4" spans="8:8" ht="15.0">
      <c r="A4" s="104" t="s">
        <v>222</v>
      </c>
      <c r="B4" s="106">
        <v>0.2</v>
      </c>
      <c r="C4" s="106">
        <v>0.2</v>
      </c>
      <c r="D4" s="106">
        <v>0.2</v>
      </c>
      <c r="E4" s="106">
        <v>0.2</v>
      </c>
      <c r="F4" s="106">
        <v>0.2</v>
      </c>
      <c r="G4" s="6"/>
      <c r="H4" s="104" t="s">
        <v>223</v>
      </c>
      <c r="I4" s="107">
        <v>1.25</v>
      </c>
      <c r="J4" s="107">
        <v>1.25</v>
      </c>
      <c r="K4" s="107">
        <v>1.25</v>
      </c>
      <c r="L4" s="107">
        <v>1.25</v>
      </c>
      <c r="M4" s="107">
        <v>1.25</v>
      </c>
      <c r="N4" s="108">
        <v>1.25</v>
      </c>
      <c r="O4" s="108">
        <v>1.25</v>
      </c>
      <c r="P4" s="108">
        <v>1.25</v>
      </c>
      <c r="Q4" s="108">
        <v>1.25</v>
      </c>
      <c r="R4" s="108">
        <v>1.25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8:8" ht="15.0">
      <c r="A5" s="104" t="s">
        <v>224</v>
      </c>
      <c r="B5" s="110">
        <f t="shared" si="0" ref="B5:F5">B3*B4</f>
        <v>0.2</v>
      </c>
      <c r="C5" s="110">
        <f t="shared" si="0"/>
        <v>0.2</v>
      </c>
      <c r="D5" s="110">
        <f t="shared" si="0"/>
        <v>0.2</v>
      </c>
      <c r="E5" s="110">
        <f t="shared" si="0"/>
        <v>0.2</v>
      </c>
      <c r="F5" s="110">
        <f t="shared" si="0"/>
        <v>0.2</v>
      </c>
      <c r="H5" s="104" t="s">
        <v>225</v>
      </c>
      <c r="I5" s="107">
        <f t="shared" si="1" ref="I5:M5">B16+B20</f>
        <v>0.2577150101433811</v>
      </c>
      <c r="J5" s="107">
        <f t="shared" si="1"/>
        <v>0.2609347797955763</v>
      </c>
      <c r="K5" s="107">
        <f t="shared" si="1"/>
        <v>0.2584203728061186</v>
      </c>
      <c r="L5" s="107">
        <f t="shared" si="1"/>
        <v>0.25627068162981687</v>
      </c>
      <c r="M5" s="107">
        <f t="shared" si="1"/>
        <v>0.25772573178659747</v>
      </c>
      <c r="N5" s="108">
        <v>1.05</v>
      </c>
      <c r="O5" s="108">
        <v>1.2</v>
      </c>
      <c r="P5" s="108">
        <v>1.05</v>
      </c>
      <c r="Q5" s="108">
        <v>0.75</v>
      </c>
      <c r="R5" s="108">
        <v>0.8999999999999999</v>
      </c>
    </row>
    <row r="6" spans="8:8" ht="15.0">
      <c r="A6" s="111"/>
      <c r="B6" s="111"/>
      <c r="C6" s="111"/>
      <c r="D6" s="111"/>
      <c r="E6" s="111"/>
      <c r="F6" s="111"/>
      <c r="H6" s="104" t="s">
        <v>226</v>
      </c>
      <c r="I6" s="107">
        <f t="shared" si="2" ref="I6:M6">B26+B30</f>
        <v>0.62033079582049</v>
      </c>
      <c r="J6" s="107">
        <f t="shared" si="2"/>
        <v>0.64972256874797</v>
      </c>
      <c r="K6" s="107">
        <f t="shared" si="2"/>
        <v>0.6989688634901571</v>
      </c>
      <c r="L6" s="107">
        <f t="shared" si="2"/>
        <v>0.748126686609627</v>
      </c>
      <c r="M6" s="107">
        <f t="shared" si="2"/>
        <v>0.641991373276938</v>
      </c>
      <c r="N6" s="108">
        <v>0.1</v>
      </c>
      <c r="O6" s="108">
        <v>0.1</v>
      </c>
      <c r="P6" s="108">
        <v>0.1</v>
      </c>
      <c r="Q6" s="108">
        <v>0.1</v>
      </c>
      <c r="R6" s="108">
        <v>0.1</v>
      </c>
    </row>
    <row r="7" spans="8:8" ht="15.0">
      <c r="A7" s="102" t="s">
        <v>227</v>
      </c>
      <c r="B7" s="103">
        <v>2021.0</v>
      </c>
      <c r="C7" s="103">
        <v>2020.0</v>
      </c>
      <c r="D7" s="103">
        <v>2019.0</v>
      </c>
      <c r="E7" s="103">
        <v>2018.0</v>
      </c>
      <c r="F7" s="103">
        <v>2017.0</v>
      </c>
      <c r="H7" s="104" t="s">
        <v>228</v>
      </c>
      <c r="I7" s="107">
        <v>0.5</v>
      </c>
      <c r="J7" s="107">
        <v>0.5</v>
      </c>
      <c r="K7" s="107">
        <v>0.5</v>
      </c>
      <c r="L7" s="107">
        <v>0.5</v>
      </c>
      <c r="M7" s="107">
        <v>0.5</v>
      </c>
      <c r="N7" s="108">
        <v>0.5</v>
      </c>
      <c r="O7" s="108">
        <v>0.5</v>
      </c>
      <c r="P7" s="108">
        <v>0.5</v>
      </c>
      <c r="Q7" s="108">
        <v>0.5</v>
      </c>
      <c r="R7" s="108">
        <v>0.5</v>
      </c>
    </row>
    <row r="8" spans="8:8" ht="15.0">
      <c r="A8" s="105"/>
      <c r="B8" s="106">
        <f t="shared" si="3" ref="B8:F8">(Y75-Y76)/Y74</f>
        <v>0.00554018518550541</v>
      </c>
      <c r="C8" s="106">
        <f t="shared" si="3"/>
        <v>0.009848666868116926</v>
      </c>
      <c r="D8" s="106">
        <f t="shared" si="3"/>
        <v>0.009991360927228387</v>
      </c>
      <c r="E8" s="106">
        <f t="shared" si="3"/>
        <v>0.004499810084107633</v>
      </c>
      <c r="F8" s="106">
        <f t="shared" si="3"/>
        <v>0.00692309959919068</v>
      </c>
      <c r="H8" s="104" t="s">
        <v>229</v>
      </c>
      <c r="I8" s="107">
        <f t="shared" si="4" ref="I8:Q8">SUM(I2:I7)</f>
        <v>3.0280458059638713</v>
      </c>
      <c r="J8" s="107">
        <f t="shared" si="4"/>
        <v>3.060657348543546</v>
      </c>
      <c r="K8" s="107">
        <f t="shared" si="4"/>
        <v>3.1073892362962754</v>
      </c>
      <c r="L8" s="107">
        <f t="shared" si="4"/>
        <v>3.1543973682394437</v>
      </c>
      <c r="M8" s="107">
        <f t="shared" si="4"/>
        <v>3.0497171050635354</v>
      </c>
      <c r="N8" s="7">
        <f t="shared" si="4"/>
        <v>3.3000000000000003</v>
      </c>
      <c r="O8" s="7">
        <f t="shared" si="4"/>
        <v>3.4499999999999997</v>
      </c>
      <c r="P8" s="7">
        <f t="shared" si="4"/>
        <v>3.3000000000000003</v>
      </c>
      <c r="Q8" s="7">
        <f t="shared" si="4"/>
        <v>3.0</v>
      </c>
      <c r="X8" s="7">
        <f t="shared" si="5" ref="X8:AC8">SUM(X2:X7)</f>
        <v>0.0</v>
      </c>
      <c r="Y8" s="7">
        <f t="shared" si="5"/>
        <v>0.0</v>
      </c>
      <c r="Z8" s="7">
        <f t="shared" si="5"/>
        <v>0.0</v>
      </c>
      <c r="AA8" s="7">
        <f t="shared" si="5"/>
        <v>0.0</v>
      </c>
      <c r="AB8" s="7">
        <f t="shared" si="5"/>
        <v>0.0</v>
      </c>
      <c r="AC8" s="7">
        <f t="shared" si="5"/>
        <v>0.0</v>
      </c>
    </row>
    <row r="9" spans="8:8" ht="15.0">
      <c r="A9" s="104" t="s">
        <v>220</v>
      </c>
      <c r="B9" s="109">
        <v>1.0</v>
      </c>
      <c r="C9" s="109">
        <v>1.0</v>
      </c>
      <c r="D9" s="109">
        <v>1.0</v>
      </c>
      <c r="E9" s="109">
        <v>1.0</v>
      </c>
      <c r="F9" s="109">
        <v>1.0</v>
      </c>
      <c r="X9" s="7">
        <f t="shared" si="6" ref="X9:AC9">SUM(R2:R7)</f>
        <v>3.15</v>
      </c>
      <c r="Y9" s="7">
        <f t="shared" si="6"/>
        <v>0.0</v>
      </c>
      <c r="Z9" s="7">
        <f t="shared" si="6"/>
        <v>0.0</v>
      </c>
      <c r="AA9" s="7">
        <f t="shared" si="6"/>
        <v>0.0</v>
      </c>
      <c r="AB9" s="7">
        <f t="shared" si="6"/>
        <v>0.0</v>
      </c>
      <c r="AC9" s="7">
        <f t="shared" si="6"/>
        <v>0.0</v>
      </c>
    </row>
    <row r="10" spans="8:8" ht="15.0">
      <c r="A10" s="104" t="s">
        <v>222</v>
      </c>
      <c r="B10" s="106">
        <v>0.2</v>
      </c>
      <c r="C10" s="106">
        <v>0.2</v>
      </c>
      <c r="D10" s="106">
        <v>0.2</v>
      </c>
      <c r="E10" s="106">
        <v>0.2</v>
      </c>
      <c r="F10" s="106">
        <v>0.2</v>
      </c>
      <c r="H10" s="112" t="s">
        <v>230</v>
      </c>
      <c r="I10" s="113">
        <f>AVERAGE(I8:M8)</f>
        <v>3.0800413728213343</v>
      </c>
    </row>
    <row r="11" spans="8:8" ht="15.0">
      <c r="A11" s="104" t="s">
        <v>224</v>
      </c>
      <c r="B11" s="110">
        <f t="shared" si="7" ref="B11:F11">B9*B10</f>
        <v>0.2</v>
      </c>
      <c r="C11" s="110">
        <f t="shared" si="7"/>
        <v>0.2</v>
      </c>
      <c r="D11" s="110">
        <f t="shared" si="7"/>
        <v>0.2</v>
      </c>
      <c r="E11" s="110">
        <f t="shared" si="7"/>
        <v>0.2</v>
      </c>
      <c r="F11" s="110">
        <f t="shared" si="7"/>
        <v>0.2</v>
      </c>
    </row>
    <row r="12" spans="8:8" ht="15.0">
      <c r="A12" s="114"/>
      <c r="B12" s="115"/>
      <c r="C12" s="115"/>
      <c r="D12" s="115"/>
      <c r="E12" s="115"/>
      <c r="F12" s="115"/>
      <c r="Y12" s="105">
        <v>2021.0</v>
      </c>
      <c r="Z12" s="105">
        <v>2020.0</v>
      </c>
      <c r="AA12" s="105">
        <v>2019.0</v>
      </c>
      <c r="AB12" s="105">
        <v>2018.0</v>
      </c>
      <c r="AC12" s="105">
        <v>2017.0</v>
      </c>
    </row>
    <row r="13" spans="8:8" ht="15.0">
      <c r="A13" s="102" t="s">
        <v>231</v>
      </c>
      <c r="B13" s="103">
        <v>2021.0</v>
      </c>
      <c r="C13" s="103">
        <v>2020.0</v>
      </c>
      <c r="D13" s="103">
        <v>2019.0</v>
      </c>
      <c r="E13" s="103">
        <v>2018.0</v>
      </c>
      <c r="F13" s="103">
        <v>2017.0</v>
      </c>
      <c r="X13" s="5" t="s">
        <v>232</v>
      </c>
      <c r="Y13" s="8">
        <v>2.1017376E7</v>
      </c>
      <c r="Z13" s="8">
        <v>2.0217974E7</v>
      </c>
      <c r="AA13" s="8">
        <v>1.8235061E7</v>
      </c>
      <c r="AB13" s="8">
        <v>1.6240514E7</v>
      </c>
      <c r="AC13" s="8">
        <v>1.4948796E7</v>
      </c>
    </row>
    <row r="14" spans="8:8" ht="15.0">
      <c r="A14" s="105"/>
      <c r="B14" s="106">
        <f t="shared" si="8" ref="B14:F14">Y13/Y14</f>
        <v>2.1632311221397296</v>
      </c>
      <c r="C14" s="106">
        <f t="shared" si="8"/>
        <v>1.8622068330681127</v>
      </c>
      <c r="D14" s="106">
        <f t="shared" si="8"/>
        <v>2.598363955262407</v>
      </c>
      <c r="E14" s="106">
        <f t="shared" si="8"/>
        <v>3.6649729491131002</v>
      </c>
      <c r="F14" s="106">
        <f t="shared" si="8"/>
        <v>2.9187255915337253</v>
      </c>
      <c r="X14" s="5" t="s">
        <v>233</v>
      </c>
      <c r="Y14" s="8">
        <v>9715733.0</v>
      </c>
      <c r="Z14" s="8">
        <v>1.0856997E7</v>
      </c>
      <c r="AA14" s="8">
        <v>7017901.0</v>
      </c>
      <c r="AB14" s="8">
        <v>4431278.0</v>
      </c>
      <c r="AC14" s="8">
        <v>5121686.0</v>
      </c>
    </row>
    <row r="15" spans="8:8" ht="15.0">
      <c r="A15" s="104" t="s">
        <v>220</v>
      </c>
      <c r="B15" s="109">
        <v>5.0</v>
      </c>
      <c r="C15" s="109">
        <v>5.0</v>
      </c>
      <c r="D15" s="109">
        <v>5.0</v>
      </c>
      <c r="E15" s="109">
        <v>5.0</v>
      </c>
      <c r="F15" s="109">
        <v>5.0</v>
      </c>
      <c r="X15" s="6" t="s">
        <v>234</v>
      </c>
    </row>
    <row r="16" spans="8:8" ht="15.0">
      <c r="A16" s="104" t="s">
        <v>222</v>
      </c>
      <c r="B16" s="106">
        <v>0.25</v>
      </c>
      <c r="C16" s="106">
        <v>0.25</v>
      </c>
      <c r="D16" s="106">
        <v>0.25</v>
      </c>
      <c r="E16" s="106">
        <v>0.25</v>
      </c>
      <c r="F16" s="106">
        <v>0.25</v>
      </c>
    </row>
    <row r="17" spans="8:8" ht="15.0">
      <c r="A17" s="104" t="s">
        <v>224</v>
      </c>
      <c r="B17" s="110">
        <f t="shared" si="9" ref="B17:F17">B15*B16</f>
        <v>1.25</v>
      </c>
      <c r="C17" s="110">
        <f t="shared" si="9"/>
        <v>1.25</v>
      </c>
      <c r="D17" s="110">
        <f t="shared" si="9"/>
        <v>1.25</v>
      </c>
      <c r="E17" s="110">
        <f t="shared" si="9"/>
        <v>1.25</v>
      </c>
      <c r="F17" s="110">
        <f t="shared" si="9"/>
        <v>1.25</v>
      </c>
      <c r="Y17" s="105">
        <v>2021.0</v>
      </c>
      <c r="Z17" s="105">
        <v>2020.0</v>
      </c>
      <c r="AA17" s="105">
        <v>2019.0</v>
      </c>
      <c r="AB17" s="105">
        <v>2018.0</v>
      </c>
      <c r="AC17" s="105">
        <v>2017.0</v>
      </c>
    </row>
    <row r="18" spans="8:8" ht="15.0">
      <c r="A18" s="111"/>
      <c r="B18" s="111"/>
      <c r="C18" s="111"/>
      <c r="D18" s="111"/>
      <c r="E18" s="111"/>
      <c r="F18" s="111"/>
      <c r="Q18" s="6" t="s">
        <v>235</v>
      </c>
      <c r="X18" s="5" t="s">
        <v>6</v>
      </c>
      <c r="Y18" s="8">
        <v>6.16231172E8</v>
      </c>
      <c r="Z18" s="8">
        <v>4.49611987E8</v>
      </c>
      <c r="AA18" s="8">
        <v>3.05435633E8</v>
      </c>
      <c r="AB18" s="116">
        <v>2.60233987E8</v>
      </c>
      <c r="AC18" s="8">
        <v>3.14956748E8</v>
      </c>
    </row>
    <row r="19" spans="8:8" ht="15.0">
      <c r="A19" s="102" t="s">
        <v>236</v>
      </c>
      <c r="B19" s="103">
        <v>2021.0</v>
      </c>
      <c r="C19" s="103">
        <v>2020.0</v>
      </c>
      <c r="D19" s="103">
        <v>2019.0</v>
      </c>
      <c r="E19" s="103">
        <v>2018.0</v>
      </c>
      <c r="F19" s="103">
        <v>2017.0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5" t="s">
        <v>237</v>
      </c>
      <c r="Y19" s="6">
        <v>1510245.0</v>
      </c>
      <c r="Z19" s="6">
        <v>1436420.0</v>
      </c>
      <c r="AA19" s="6">
        <v>1272261.0</v>
      </c>
      <c r="AB19" s="6">
        <v>971446.0</v>
      </c>
      <c r="AC19" s="6">
        <v>1652135.0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8:8" ht="15.0">
      <c r="A20" s="117" t="s">
        <v>238</v>
      </c>
      <c r="B20" s="106">
        <f>Sheet1!C78</f>
        <v>0.007715010143381083</v>
      </c>
      <c r="C20" s="106">
        <f>Sheet1!D78</f>
        <v>0.010934779795576284</v>
      </c>
      <c r="D20" s="106">
        <f>Sheet1!E78</f>
        <v>0.008420372806118636</v>
      </c>
      <c r="E20" s="106">
        <f>Sheet1!F78</f>
        <v>0.0062706816298168455</v>
      </c>
      <c r="F20" s="106">
        <f>Sheet1!G78</f>
        <v>0.007725731786597487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8:8" ht="15.75" customHeight="1">
      <c r="A21" s="104" t="s">
        <v>220</v>
      </c>
      <c r="B21" s="109">
        <v>4.0</v>
      </c>
      <c r="C21" s="109">
        <v>3.0</v>
      </c>
      <c r="D21" s="109">
        <v>4.0</v>
      </c>
      <c r="E21" s="109">
        <v>5.0</v>
      </c>
      <c r="F21" s="109">
        <v>4.0</v>
      </c>
      <c r="Q21" s="6" t="s">
        <v>235</v>
      </c>
      <c r="X21" s="5"/>
      <c r="Y21" s="6"/>
      <c r="Z21" s="6"/>
      <c r="AA21" s="6"/>
      <c r="AB21" s="6"/>
      <c r="AC21" s="6"/>
    </row>
    <row r="22" spans="8:8" ht="15.75" customHeight="1">
      <c r="A22" s="104" t="s">
        <v>222</v>
      </c>
      <c r="B22" s="106">
        <v>0.15</v>
      </c>
      <c r="C22" s="106">
        <v>0.15</v>
      </c>
      <c r="D22" s="106">
        <v>0.15</v>
      </c>
      <c r="E22" s="106">
        <v>0.15</v>
      </c>
      <c r="F22" s="106">
        <v>0.15</v>
      </c>
      <c r="X22" s="5" t="s">
        <v>239</v>
      </c>
      <c r="Y22" s="6" t="s">
        <v>235</v>
      </c>
      <c r="Z22" s="6" t="s">
        <v>235</v>
      </c>
      <c r="AA22" s="6" t="s">
        <v>235</v>
      </c>
      <c r="AB22" s="6" t="s">
        <v>235</v>
      </c>
      <c r="AC22" s="6">
        <v>375075.0</v>
      </c>
    </row>
    <row r="23" spans="8:8" ht="15.75" customHeight="1">
      <c r="A23" s="104" t="s">
        <v>240</v>
      </c>
      <c r="B23" s="110">
        <f t="shared" si="10" ref="B23:F23">B21*B22</f>
        <v>0.6</v>
      </c>
      <c r="C23" s="110">
        <f t="shared" si="10"/>
        <v>0.44999999999999996</v>
      </c>
      <c r="D23" s="110">
        <f t="shared" si="10"/>
        <v>0.6</v>
      </c>
      <c r="E23" s="110">
        <f t="shared" si="10"/>
        <v>0.75</v>
      </c>
      <c r="F23" s="110">
        <f t="shared" si="10"/>
        <v>0.6</v>
      </c>
      <c r="X23" s="5" t="s">
        <v>241</v>
      </c>
      <c r="Y23" s="8">
        <f t="shared" si="11" ref="Y23:AB23">Y18-Y19</f>
        <v>6.14720927E8</v>
      </c>
      <c r="Z23" s="8">
        <f t="shared" si="11"/>
        <v>4.48175567E8</v>
      </c>
      <c r="AA23" s="8">
        <f t="shared" si="11"/>
        <v>3.04163372E8</v>
      </c>
      <c r="AB23" s="8">
        <f t="shared" si="11"/>
        <v>2.59262541E8</v>
      </c>
      <c r="AC23" s="8">
        <f>AC18-AC19-AC22</f>
        <v>3.12929538E8</v>
      </c>
    </row>
    <row r="24" spans="8:8" ht="15.75" customHeight="1">
      <c r="A24" s="117" t="s">
        <v>242</v>
      </c>
      <c r="B24" s="106">
        <f>Sheet1!C77</f>
        <v>0.17336872560295868</v>
      </c>
      <c r="C24" s="106">
        <f>Sheet1!D77</f>
        <v>0.19855054586784965</v>
      </c>
      <c r="D24" s="106">
        <f>Sheet1!E77</f>
        <v>0.16550801169835996</v>
      </c>
      <c r="E24" s="106">
        <f>Sheet1!F77</f>
        <v>0.13188185686457357</v>
      </c>
      <c r="F24" s="106">
        <f>Sheet1!G77</f>
        <v>0.15737129698491048</v>
      </c>
      <c r="X24" s="5" t="s">
        <v>13</v>
      </c>
      <c r="Y24" s="8">
        <v>1.25932861E9</v>
      </c>
      <c r="Z24" s="8">
        <v>9.92886661E8</v>
      </c>
      <c r="AA24" s="8">
        <v>8.33443027E8</v>
      </c>
      <c r="AB24" s="8">
        <v>7.06666079E8</v>
      </c>
      <c r="AC24" s="8">
        <v>6.62938624E8</v>
      </c>
    </row>
    <row r="25" spans="8:8" ht="15.75" customHeight="1">
      <c r="A25" s="104" t="s">
        <v>220</v>
      </c>
      <c r="B25" s="109">
        <v>2.0</v>
      </c>
      <c r="C25" s="109">
        <v>2.0</v>
      </c>
      <c r="D25" s="109">
        <v>3.0</v>
      </c>
      <c r="E25" s="109">
        <v>3.0</v>
      </c>
      <c r="F25" s="109">
        <v>3.0</v>
      </c>
    </row>
    <row r="26" spans="8:8" ht="15.75" customHeight="1">
      <c r="A26" s="104" t="s">
        <v>222</v>
      </c>
      <c r="B26" s="106">
        <v>0.15</v>
      </c>
      <c r="C26" s="106">
        <v>0.15</v>
      </c>
      <c r="D26" s="106">
        <v>0.15</v>
      </c>
      <c r="E26" s="106">
        <v>0.15</v>
      </c>
      <c r="F26" s="106">
        <v>0.15</v>
      </c>
    </row>
    <row r="27" spans="8:8" ht="15.0" customHeight="1">
      <c r="A27" s="104" t="s">
        <v>243</v>
      </c>
      <c r="B27" s="110">
        <f t="shared" si="12" ref="B27:F27">B25*B26</f>
        <v>0.3</v>
      </c>
      <c r="C27" s="110">
        <f t="shared" si="12"/>
        <v>0.3</v>
      </c>
      <c r="D27" s="110">
        <f t="shared" si="12"/>
        <v>0.44999999999999996</v>
      </c>
      <c r="E27" s="110">
        <f t="shared" si="12"/>
        <v>0.44999999999999996</v>
      </c>
      <c r="F27" s="110">
        <f t="shared" si="12"/>
        <v>0.44999999999999996</v>
      </c>
    </row>
    <row r="28" spans="8:8" ht="15.75" customHeight="1">
      <c r="A28" s="111"/>
      <c r="B28" s="111"/>
      <c r="C28" s="111"/>
      <c r="D28" s="111"/>
      <c r="E28" s="111"/>
      <c r="F28" s="111"/>
      <c r="AM28" s="6"/>
      <c r="AN28" s="111">
        <v>2021.0</v>
      </c>
      <c r="AO28" s="111">
        <v>2020.0</v>
      </c>
      <c r="AP28" s="111">
        <v>2019.0</v>
      </c>
      <c r="AQ28" s="111">
        <v>2018.0</v>
      </c>
      <c r="AR28" s="111">
        <v>2017.0</v>
      </c>
    </row>
    <row r="29" spans="8:8" ht="15.75" customHeight="1">
      <c r="A29" s="102" t="s">
        <v>244</v>
      </c>
      <c r="B29" s="103">
        <v>2021.0</v>
      </c>
      <c r="C29" s="103">
        <v>2020.0</v>
      </c>
      <c r="D29" s="103">
        <v>2019.0</v>
      </c>
      <c r="E29" s="103">
        <v>2018.0</v>
      </c>
      <c r="F29" s="103">
        <v>2017.0</v>
      </c>
      <c r="AM29" s="6" t="s">
        <v>245</v>
      </c>
      <c r="AN29" s="8">
        <v>4.77673022E8</v>
      </c>
      <c r="AO29" s="8">
        <v>3.95416055E8</v>
      </c>
      <c r="AP29" s="8">
        <v>3.72913863E8</v>
      </c>
      <c r="AQ29" s="8">
        <v>3.43107147E8</v>
      </c>
      <c r="AR29" s="8">
        <v>2.58693086E8</v>
      </c>
    </row>
    <row r="30" spans="8:8" ht="15.75" customHeight="1">
      <c r="A30" s="117" t="s">
        <v>246</v>
      </c>
      <c r="B30" s="106">
        <f t="shared" si="13" ref="B30:D30">Y65/Y66</f>
        <v>0.47033079582048987</v>
      </c>
      <c r="C30" s="106">
        <f t="shared" si="13"/>
        <v>0.49972256874796983</v>
      </c>
      <c r="D30" s="106">
        <f t="shared" si="13"/>
        <v>0.5489688634901567</v>
      </c>
      <c r="E30" s="106">
        <f t="shared" si="14" ref="E30:F30">Y69/Y70</f>
        <v>0.598126686609627</v>
      </c>
      <c r="F30" s="106">
        <f t="shared" si="14"/>
        <v>0.4919913732769376</v>
      </c>
      <c r="AM30" s="6" t="s">
        <v>247</v>
      </c>
      <c r="AN30" s="8">
        <v>1.25932861E9</v>
      </c>
      <c r="AO30" s="8">
        <v>9.92886661E8</v>
      </c>
      <c r="AP30" s="8">
        <v>8.33433027E8</v>
      </c>
      <c r="AQ30" s="8">
        <v>7.06451322E8</v>
      </c>
      <c r="AR30" s="8">
        <v>6.62610675E8</v>
      </c>
    </row>
    <row r="31" spans="8:8" ht="15.75" customHeight="1">
      <c r="A31" s="104" t="s">
        <v>220</v>
      </c>
      <c r="B31" s="109">
        <v>1.0</v>
      </c>
      <c r="C31" s="109">
        <v>1.0</v>
      </c>
      <c r="D31" s="109">
        <v>1.0</v>
      </c>
      <c r="E31" s="109">
        <v>1.0</v>
      </c>
      <c r="F31" s="109">
        <v>1.0</v>
      </c>
      <c r="AM31" s="6"/>
      <c r="AN31" s="6">
        <f>477673022/1259328610</f>
        <v>0.37930768681575494</v>
      </c>
      <c r="AO31" s="6">
        <f>395416055/992886661</f>
        <v>0.3982489346787589</v>
      </c>
      <c r="AP31" s="6">
        <f>372913863/833433027</f>
        <v>0.44744310690725725</v>
      </c>
      <c r="AQ31" s="6">
        <f>343107147/706451322</f>
        <v>0.48567698341712495</v>
      </c>
      <c r="AR31" s="6">
        <f>258693086/662610675</f>
        <v>0.3904149084226571</v>
      </c>
    </row>
    <row r="32" spans="8:8" ht="15.75" customHeight="1">
      <c r="A32" s="104" t="s">
        <v>222</v>
      </c>
      <c r="B32" s="106">
        <v>0.05</v>
      </c>
      <c r="C32" s="106">
        <v>0.05</v>
      </c>
      <c r="D32" s="106">
        <v>0.05</v>
      </c>
      <c r="E32" s="106">
        <v>0.05</v>
      </c>
      <c r="F32" s="106">
        <v>0.05</v>
      </c>
    </row>
    <row r="33" spans="8:8" ht="15.75" customHeight="1">
      <c r="A33" s="104" t="s">
        <v>224</v>
      </c>
      <c r="B33" s="110">
        <f t="shared" si="15" ref="B33:F33">B31*B32</f>
        <v>0.05</v>
      </c>
      <c r="C33" s="110">
        <f t="shared" si="15"/>
        <v>0.05</v>
      </c>
      <c r="D33" s="110">
        <f t="shared" si="15"/>
        <v>0.05</v>
      </c>
      <c r="E33" s="110">
        <f t="shared" si="15"/>
        <v>0.05</v>
      </c>
      <c r="F33" s="110">
        <f t="shared" si="15"/>
        <v>0.05</v>
      </c>
    </row>
    <row r="34" spans="8:8" ht="15.75" customHeight="1">
      <c r="A34" s="104" t="s">
        <v>248</v>
      </c>
      <c r="B34" s="106">
        <f t="shared" si="16" ref="B34:F34">AN29/AN30</f>
        <v>0.37930768681575494</v>
      </c>
      <c r="C34" s="106">
        <f t="shared" si="16"/>
        <v>0.3982489346787589</v>
      </c>
      <c r="D34" s="106">
        <f t="shared" si="16"/>
        <v>0.44744310690725725</v>
      </c>
      <c r="E34" s="106">
        <f t="shared" si="16"/>
        <v>0.48567698341712495</v>
      </c>
      <c r="F34" s="106">
        <f t="shared" si="16"/>
        <v>0.3904149084226571</v>
      </c>
    </row>
    <row r="35" spans="8:8" ht="15.75" customHeight="1">
      <c r="A35" s="104" t="s">
        <v>220</v>
      </c>
      <c r="B35" s="108">
        <v>1.0</v>
      </c>
      <c r="C35" s="108">
        <v>1.0</v>
      </c>
      <c r="D35" s="108">
        <v>1.0</v>
      </c>
      <c r="E35" s="108">
        <v>1.0</v>
      </c>
      <c r="F35" s="108">
        <v>1.0</v>
      </c>
    </row>
    <row r="36" spans="8:8" ht="15.75" customHeight="1">
      <c r="A36" s="104" t="s">
        <v>222</v>
      </c>
      <c r="B36" s="118">
        <v>0.05</v>
      </c>
      <c r="C36" s="118">
        <v>0.05</v>
      </c>
      <c r="D36" s="118">
        <v>0.05</v>
      </c>
      <c r="E36" s="118">
        <v>0.05</v>
      </c>
      <c r="F36" s="118">
        <v>0.05</v>
      </c>
    </row>
    <row r="37" spans="8:8" ht="15.0" customHeight="1">
      <c r="A37" s="104" t="s">
        <v>224</v>
      </c>
      <c r="B37" s="104">
        <f t="shared" si="17" ref="B37:F37">B35*B36</f>
        <v>0.05</v>
      </c>
      <c r="C37" s="104">
        <f t="shared" si="17"/>
        <v>0.05</v>
      </c>
      <c r="D37" s="104">
        <f t="shared" si="17"/>
        <v>0.05</v>
      </c>
      <c r="E37" s="104">
        <f t="shared" si="17"/>
        <v>0.05</v>
      </c>
      <c r="F37" s="104">
        <f t="shared" si="17"/>
        <v>0.05</v>
      </c>
    </row>
    <row r="38" spans="8:8" ht="15.75" customHeight="1">
      <c r="A38" s="119"/>
      <c r="B38" s="119"/>
      <c r="C38" s="119"/>
      <c r="D38" s="119"/>
      <c r="E38" s="119"/>
      <c r="F38" s="119"/>
      <c r="X38" s="6" t="s">
        <v>249</v>
      </c>
    </row>
    <row r="39" spans="8:8" ht="15.75" customHeight="1">
      <c r="A39" s="102" t="s">
        <v>250</v>
      </c>
      <c r="B39" s="103">
        <v>2021.0</v>
      </c>
      <c r="C39" s="103">
        <v>2020.0</v>
      </c>
      <c r="D39" s="103">
        <v>2019.0</v>
      </c>
      <c r="E39" s="103">
        <v>2018.0</v>
      </c>
      <c r="F39" s="103">
        <v>2017.0</v>
      </c>
      <c r="X39" s="120" t="s">
        <v>210</v>
      </c>
      <c r="Y39" s="105">
        <v>2021.0</v>
      </c>
      <c r="Z39" s="105">
        <v>2020.0</v>
      </c>
      <c r="AA39" s="105">
        <v>2019.0</v>
      </c>
      <c r="AB39" s="105">
        <v>2018.0</v>
      </c>
      <c r="AC39" s="105">
        <v>2017.0</v>
      </c>
    </row>
    <row r="40" spans="8:8" ht="15.75" customHeight="1">
      <c r="A40" s="105"/>
      <c r="B40" s="106">
        <f t="shared" si="18" ref="B40:F40">Y23/Y24</f>
        <v>0.4881338533236373</v>
      </c>
      <c r="C40" s="106">
        <f t="shared" si="18"/>
        <v>0.45138643170874465</v>
      </c>
      <c r="D40" s="106">
        <f t="shared" si="18"/>
        <v>0.36494800741790834</v>
      </c>
      <c r="E40" s="106">
        <f t="shared" si="18"/>
        <v>0.3668812593451227</v>
      </c>
      <c r="F40" s="106">
        <f t="shared" si="18"/>
        <v>0.47203395106452567</v>
      </c>
      <c r="X40" s="121"/>
      <c r="Y40" s="121"/>
      <c r="Z40" s="121"/>
      <c r="AA40" s="121"/>
      <c r="AB40" s="121"/>
      <c r="AC40" s="121"/>
    </row>
    <row r="41" spans="8:8" ht="15.75" customHeight="1">
      <c r="A41" s="104" t="s">
        <v>251</v>
      </c>
      <c r="B41" s="109">
        <v>5.0</v>
      </c>
      <c r="C41" s="109">
        <v>5.0</v>
      </c>
      <c r="D41" s="109">
        <v>5.0</v>
      </c>
      <c r="E41" s="109">
        <v>5.0</v>
      </c>
      <c r="F41" s="109">
        <v>5.0</v>
      </c>
      <c r="X41" s="120" t="s">
        <v>106</v>
      </c>
      <c r="Y41" s="122">
        <v>0.1338</v>
      </c>
      <c r="Z41" s="122">
        <v>0.1548</v>
      </c>
      <c r="AA41" s="122">
        <v>0.1338</v>
      </c>
      <c r="AB41" s="122">
        <v>0.1251</v>
      </c>
      <c r="AC41" s="122">
        <v>0.1209</v>
      </c>
    </row>
    <row r="42" spans="8:8" ht="15.75" customHeight="1">
      <c r="A42" s="104" t="s">
        <v>222</v>
      </c>
      <c r="B42" s="106">
        <v>0.1</v>
      </c>
      <c r="C42" s="106">
        <v>0.1</v>
      </c>
      <c r="D42" s="106">
        <v>0.1</v>
      </c>
      <c r="E42" s="106">
        <v>0.1</v>
      </c>
      <c r="F42" s="106">
        <v>0.1</v>
      </c>
      <c r="X42" s="120" t="s">
        <v>220</v>
      </c>
      <c r="Y42" s="123">
        <v>1.0</v>
      </c>
      <c r="Z42" s="123">
        <v>1.0</v>
      </c>
      <c r="AA42" s="123">
        <v>1.0</v>
      </c>
      <c r="AB42" s="123">
        <v>1.0</v>
      </c>
      <c r="AC42" s="123">
        <v>1.0</v>
      </c>
    </row>
    <row r="43" spans="8:8" ht="15.75" customHeight="1">
      <c r="A43" s="104" t="s">
        <v>224</v>
      </c>
      <c r="B43" s="110">
        <f t="shared" si="19" ref="B43:F43">B41*B42</f>
        <v>0.5</v>
      </c>
      <c r="C43" s="110">
        <f t="shared" si="19"/>
        <v>0.5</v>
      </c>
      <c r="D43" s="110">
        <f t="shared" si="19"/>
        <v>0.5</v>
      </c>
      <c r="E43" s="110">
        <f t="shared" si="19"/>
        <v>0.5</v>
      </c>
      <c r="F43" s="110">
        <f t="shared" si="19"/>
        <v>0.5</v>
      </c>
      <c r="X43" s="120" t="s">
        <v>222</v>
      </c>
      <c r="Y43" s="122">
        <v>0.2</v>
      </c>
      <c r="Z43" s="122">
        <v>0.2</v>
      </c>
      <c r="AA43" s="122">
        <v>0.2</v>
      </c>
      <c r="AB43" s="122">
        <v>0.2</v>
      </c>
      <c r="AC43" s="122">
        <v>0.2</v>
      </c>
    </row>
    <row r="44" spans="8:8" ht="15.75" customHeight="1"/>
    <row r="45" spans="8:8" ht="15.75" customHeight="1">
      <c r="X45" s="5" t="s">
        <v>234</v>
      </c>
      <c r="Y45" s="105">
        <v>2021.0</v>
      </c>
      <c r="Z45" s="105">
        <v>2020.0</v>
      </c>
      <c r="AA45" s="105">
        <v>2019.0</v>
      </c>
      <c r="AB45" s="105">
        <v>2018.0</v>
      </c>
      <c r="AC45" s="105">
        <v>2017.0</v>
      </c>
    </row>
    <row r="46" spans="8:8" ht="15.75" customHeight="1"/>
    <row r="47" spans="8:8" ht="15.75" customHeight="1">
      <c r="X47" s="5" t="s">
        <v>231</v>
      </c>
      <c r="Y47" s="29">
        <v>2.1632311221397296</v>
      </c>
      <c r="Z47" s="29">
        <v>1.8622068330681127</v>
      </c>
      <c r="AA47" s="29">
        <v>2.598363955262407</v>
      </c>
      <c r="AB47" s="29">
        <v>3.6649729491131002</v>
      </c>
      <c r="AC47" s="29">
        <v>2.9187255915337253</v>
      </c>
    </row>
    <row r="48" spans="8:8" ht="15.0" customHeight="1">
      <c r="X48" s="5" t="s">
        <v>220</v>
      </c>
      <c r="Y48" s="5">
        <v>5.0</v>
      </c>
      <c r="Z48" s="5">
        <v>5.0</v>
      </c>
      <c r="AA48" s="5">
        <v>5.0</v>
      </c>
      <c r="AB48" s="5">
        <v>5.0</v>
      </c>
      <c r="AC48" s="5">
        <v>5.0</v>
      </c>
    </row>
    <row r="49" spans="8:8" ht="15.0" customHeight="1">
      <c r="X49" s="5" t="s">
        <v>222</v>
      </c>
      <c r="Y49" s="29">
        <v>0.25</v>
      </c>
      <c r="Z49" s="29">
        <v>0.25</v>
      </c>
      <c r="AA49" s="29">
        <v>0.25</v>
      </c>
      <c r="AB49" s="29">
        <v>0.25</v>
      </c>
      <c r="AC49" s="29">
        <v>0.25</v>
      </c>
    </row>
    <row r="50" spans="8:8" ht="15.0" customHeight="1">
      <c r="X50" s="5" t="s">
        <v>224</v>
      </c>
      <c r="Y50" s="5">
        <f t="shared" si="20" ref="Y50:AC50">Y48*Y49</f>
        <v>1.25</v>
      </c>
      <c r="Z50" s="5">
        <f t="shared" si="20"/>
        <v>1.25</v>
      </c>
      <c r="AA50" s="5">
        <f t="shared" si="20"/>
        <v>1.25</v>
      </c>
      <c r="AB50" s="5">
        <f t="shared" si="20"/>
        <v>1.25</v>
      </c>
      <c r="AC50" s="5">
        <f t="shared" si="20"/>
        <v>1.25</v>
      </c>
    </row>
    <row r="51" spans="8:8" ht="15.75" customHeight="1"/>
    <row r="52" spans="8:8" ht="15.0" customHeight="1">
      <c r="X52" s="5" t="s">
        <v>252</v>
      </c>
      <c r="Y52" s="105">
        <v>2021.0</v>
      </c>
      <c r="Z52" s="105">
        <v>2020.0</v>
      </c>
      <c r="AA52" s="105">
        <v>2019.0</v>
      </c>
      <c r="AB52" s="105">
        <v>2018.0</v>
      </c>
      <c r="AC52" s="105">
        <v>2017.0</v>
      </c>
    </row>
    <row r="53" spans="8:8" ht="15.75" customHeight="1"/>
    <row r="54" spans="8:8" ht="15.0" customHeight="1">
      <c r="X54" s="5" t="s">
        <v>250</v>
      </c>
      <c r="Y54" s="29">
        <v>0.4881338533236373</v>
      </c>
      <c r="Z54" s="29">
        <v>0.45138643170874465</v>
      </c>
      <c r="AA54" s="29">
        <v>0.36494800741790834</v>
      </c>
      <c r="AB54" s="29">
        <v>0.3668812593451227</v>
      </c>
      <c r="AC54" s="29">
        <v>0.47203395106452567</v>
      </c>
    </row>
    <row r="55" spans="8:8" ht="15.0" customHeight="1">
      <c r="X55" s="5" t="s">
        <v>251</v>
      </c>
      <c r="Y55" s="5">
        <v>5.0</v>
      </c>
      <c r="Z55" s="5">
        <v>5.0</v>
      </c>
      <c r="AA55" s="5">
        <v>5.0</v>
      </c>
      <c r="AB55" s="5">
        <v>5.0</v>
      </c>
      <c r="AC55" s="5">
        <v>5.0</v>
      </c>
    </row>
    <row r="56" spans="8:8" ht="15.0" customHeight="1">
      <c r="X56" s="5" t="s">
        <v>222</v>
      </c>
      <c r="Y56" s="29">
        <v>0.1</v>
      </c>
      <c r="Z56" s="29">
        <v>0.1</v>
      </c>
      <c r="AA56" s="29">
        <v>0.1</v>
      </c>
      <c r="AB56" s="29">
        <v>0.1</v>
      </c>
      <c r="AC56" s="29">
        <v>0.1</v>
      </c>
    </row>
    <row r="57" spans="8:8" ht="15.0" customHeight="1">
      <c r="X57" s="5" t="s">
        <v>224</v>
      </c>
      <c r="Y57" s="5">
        <f t="shared" si="21" ref="Y57:AC57">Y55*Y56</f>
        <v>0.5</v>
      </c>
      <c r="Z57" s="5">
        <f t="shared" si="21"/>
        <v>0.5</v>
      </c>
      <c r="AA57" s="5">
        <f t="shared" si="21"/>
        <v>0.5</v>
      </c>
      <c r="AB57" s="5">
        <f t="shared" si="21"/>
        <v>0.5</v>
      </c>
      <c r="AC57" s="5">
        <f t="shared" si="21"/>
        <v>0.5</v>
      </c>
    </row>
    <row r="58" spans="8:8" ht="15.75" customHeight="1"/>
    <row r="59" spans="8:8" ht="15.75" customHeight="1"/>
    <row r="60" spans="8:8" ht="15.75" customHeight="1"/>
    <row r="61" spans="8:8" ht="15.75" customHeight="1"/>
    <row r="62" spans="8:8" ht="15.0" customHeight="1">
      <c r="X62" s="6" t="s">
        <v>76</v>
      </c>
    </row>
    <row r="63" spans="8:8" ht="15.75" customHeight="1"/>
    <row r="64" spans="8:8" ht="15.75" customHeight="1"/>
    <row r="65" spans="8:8" ht="15.0" customHeight="1">
      <c r="X65" s="6" t="s">
        <v>7</v>
      </c>
      <c r="Y65" s="8">
        <v>477588.0</v>
      </c>
      <c r="Z65" s="8">
        <v>395374.0</v>
      </c>
      <c r="AA65" s="8">
        <v>372914.0</v>
      </c>
    </row>
    <row r="66" spans="8:8" ht="15.0" customHeight="1">
      <c r="X66" s="6" t="s">
        <v>253</v>
      </c>
      <c r="Y66" s="8">
        <v>1015430.0</v>
      </c>
      <c r="Z66" s="8">
        <v>791187.0</v>
      </c>
      <c r="AA66" s="8">
        <v>679299.0</v>
      </c>
    </row>
    <row r="67" spans="8:8" ht="15.75" customHeight="1"/>
    <row r="68" spans="8:8" ht="15.75" customHeight="1"/>
    <row r="69" spans="8:8" ht="15.0" customHeight="1">
      <c r="Y69" s="8">
        <v>343107.0</v>
      </c>
      <c r="Z69" s="8">
        <v>258693.0</v>
      </c>
    </row>
    <row r="70" spans="8:8" ht="15.0" customHeight="1">
      <c r="Y70" s="8">
        <v>573636.0</v>
      </c>
      <c r="Z70" s="8">
        <v>525808.0</v>
      </c>
    </row>
    <row r="71" spans="8:8" ht="15.75" customHeight="1"/>
    <row r="72" spans="8:8" ht="15.0" customHeight="1">
      <c r="X72" s="6"/>
      <c r="Y72" s="6"/>
      <c r="Z72" s="6"/>
      <c r="AA72" s="6"/>
      <c r="AB72" s="6"/>
      <c r="AC72" s="6"/>
    </row>
    <row r="73" spans="8:8" ht="15.0" customHeight="1">
      <c r="X73" s="115"/>
      <c r="Y73" s="114">
        <v>2021.0</v>
      </c>
      <c r="Z73" s="114">
        <v>2020.0</v>
      </c>
      <c r="AA73" s="114">
        <v>2019.0</v>
      </c>
      <c r="AB73" s="114">
        <v>2018.0</v>
      </c>
      <c r="AC73" s="114">
        <v>2017.0</v>
      </c>
    </row>
    <row r="74" spans="8:8" ht="15.0" customHeight="1">
      <c r="X74" s="114" t="s">
        <v>7</v>
      </c>
      <c r="Y74" s="124">
        <v>4.77673022E8</v>
      </c>
      <c r="Z74" s="124">
        <v>3.95416055E8</v>
      </c>
      <c r="AA74" s="124">
        <v>3.72913863E8</v>
      </c>
      <c r="AB74" s="124">
        <v>3.43107147E8</v>
      </c>
      <c r="AC74" s="124">
        <v>2.58693086E8</v>
      </c>
    </row>
    <row r="75" spans="8:8" ht="15.0" customHeight="1">
      <c r="X75" s="114" t="s">
        <v>254</v>
      </c>
      <c r="Y75" s="124">
        <v>3.1165327E7</v>
      </c>
      <c r="Z75" s="124">
        <v>2.8736399E7</v>
      </c>
      <c r="AA75" s="124">
        <v>2.8133973E7</v>
      </c>
      <c r="AB75" s="124">
        <v>2.6657086E7</v>
      </c>
      <c r="AC75" s="124">
        <v>2.6753027E7</v>
      </c>
    </row>
    <row r="76" spans="8:8" ht="15.0" customHeight="1">
      <c r="X76" s="114" t="s">
        <v>255</v>
      </c>
      <c r="Y76" s="124">
        <v>2.851893E7</v>
      </c>
      <c r="Z76" s="124">
        <v>2.4842078E7</v>
      </c>
      <c r="AA76" s="124">
        <v>2.4408056E7</v>
      </c>
      <c r="AB76" s="124">
        <v>2.5113169E7</v>
      </c>
      <c r="AC76" s="124">
        <v>2.4962069E7</v>
      </c>
    </row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1">
    <mergeCell ref="X38:AC38"/>
  </mergeCells>
  <pageMargins left="0.7" right="0.7" top="0.75" bottom="0.75" header="0.0" footer="0.0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1" sqref="A1"/>
    </sheetView>
  </sheetViews>
  <sheetFormatPr defaultRowHeight="15.0" customHeight="1" defaultColWidth="14"/>
  <cols>
    <col min="1" max="24" customWidth="1" width="8.707031" style="0"/>
  </cols>
  <sheetData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pageMargins left="0.7" right="0.7" top="0.75" bottom="0.75" header="0.0" footer="0.0"/>
  <pageSetup paperSize="9" fitToWidth="0" fitToHeight="0" orientation="landscape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2022-04-15T05:00:11Z</dcterms:created>
  <dcterms:modified xsi:type="dcterms:W3CDTF">2022-04-19T19:25:30Z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45be4510d5dd4b4ca1c0c7776b5f8beb</vt:lpwstr>
  </property>
</Properties>
</file>