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d.docs.live.net/1fbb86b216254a95/Uni/Semester 6/Banking/Project/"/>
    </mc:Choice>
  </mc:AlternateContent>
  <xr:revisionPtr revIDLastSave="0" documentId="8_{794FD627-E290-441F-9E0A-473993E8292C}" xr6:coauthVersionLast="47" xr6:coauthVersionMax="47" xr10:uidLastSave="{00000000-0000-0000-0000-000000000000}"/>
  <bookViews>
    <workbookView xWindow="14364" yWindow="1632" windowWidth="17280" windowHeight="8964" firstSheet="8" activeTab="8" xr2:uid="{00000000-000D-0000-FFFF-FFFF00000000}"/>
  </bookViews>
  <sheets>
    <sheet name="Balance Sheet" sheetId="1" r:id="rId1"/>
    <sheet name="Income Statement" sheetId="2" r:id="rId2"/>
    <sheet name="Sheet1" sheetId="3" state="hidden" r:id="rId3"/>
    <sheet name="Profitability Ratios" sheetId="6" r:id="rId4"/>
    <sheet name="Risk Ratios" sheetId="5" r:id="rId5"/>
    <sheet name="CAMELS" sheetId="4" r:id="rId6"/>
    <sheet name="Graphs" sheetId="7" r:id="rId7"/>
    <sheet name="Sector Analysis" sheetId="9" r:id="rId8"/>
    <sheet name="Industry" sheetId="10" r:id="rId9"/>
    <sheet name="Comparison" sheetId="11" r:id="rId10"/>
    <sheet name="Sheet2" sheetId="8" r:id="rId11"/>
  </sheets>
  <externalReferences>
    <externalReference r:id="rId1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6" l="1"/>
  <c r="G19" i="6"/>
  <c r="H19" i="6"/>
  <c r="I19" i="6"/>
  <c r="E19" i="6"/>
  <c r="X3" i="8"/>
  <c r="X2" i="8"/>
  <c r="K3" i="8"/>
  <c r="K4" i="8"/>
  <c r="K5" i="8"/>
  <c r="K6" i="8"/>
  <c r="K7" i="8"/>
  <c r="K8" i="8"/>
  <c r="K2" i="8"/>
  <c r="J8" i="8"/>
  <c r="I3" i="8"/>
  <c r="I4" i="8"/>
  <c r="I5" i="8"/>
  <c r="I6" i="8"/>
  <c r="I7" i="8"/>
  <c r="I2" i="8"/>
  <c r="G3" i="8"/>
  <c r="G4" i="8"/>
  <c r="G5" i="8"/>
  <c r="G6" i="8"/>
  <c r="G7" i="8"/>
  <c r="G2" i="8"/>
  <c r="H8" i="8"/>
  <c r="I8" i="8" s="1"/>
  <c r="F8" i="8"/>
  <c r="G8" i="8" s="1"/>
  <c r="E3" i="8"/>
  <c r="E4" i="8"/>
  <c r="E5" i="8"/>
  <c r="E6" i="8"/>
  <c r="E7" i="8"/>
  <c r="E8" i="8"/>
  <c r="E2" i="8"/>
  <c r="D8" i="8"/>
  <c r="B8" i="8"/>
  <c r="C8" i="8" s="1"/>
  <c r="C3" i="8"/>
  <c r="C4" i="8"/>
  <c r="C5" i="8"/>
  <c r="C6" i="8"/>
  <c r="C7" i="8"/>
  <c r="C2" i="8"/>
  <c r="I10" i="6"/>
  <c r="H10" i="6"/>
  <c r="G10" i="6"/>
  <c r="E10" i="6"/>
  <c r="F10" i="6"/>
  <c r="N23" i="6"/>
  <c r="O23" i="6"/>
  <c r="P23" i="6"/>
  <c r="Q23" i="6"/>
  <c r="N17" i="6"/>
  <c r="O17" i="6"/>
  <c r="P17" i="6"/>
  <c r="Q17" i="6"/>
  <c r="M17" i="6"/>
  <c r="M23" i="6"/>
  <c r="D20" i="5"/>
  <c r="E20" i="5"/>
  <c r="F20" i="5"/>
  <c r="G20" i="5"/>
  <c r="C20" i="5"/>
  <c r="C9" i="5"/>
  <c r="E4" i="6"/>
  <c r="F4" i="6"/>
  <c r="I26" i="6"/>
  <c r="H26" i="6"/>
  <c r="G26" i="6"/>
  <c r="F26" i="6"/>
  <c r="E26" i="6"/>
  <c r="I18" i="6"/>
  <c r="H18" i="6"/>
  <c r="E6" i="6"/>
  <c r="F17" i="6" l="1"/>
  <c r="G17" i="6"/>
  <c r="H17" i="6"/>
  <c r="I17" i="6"/>
  <c r="E17" i="6" l="1"/>
  <c r="O38" i="6"/>
  <c r="P38" i="6"/>
  <c r="Q38" i="6"/>
  <c r="N38" i="6"/>
  <c r="M38" i="6"/>
  <c r="F7" i="6" l="1"/>
  <c r="G7" i="6"/>
  <c r="H7" i="6"/>
  <c r="I7" i="6"/>
  <c r="E7" i="6"/>
  <c r="F6" i="6"/>
  <c r="G6" i="6"/>
  <c r="H6" i="6"/>
  <c r="I6" i="6"/>
  <c r="F8" i="6"/>
  <c r="G8" i="6"/>
  <c r="H8" i="6"/>
  <c r="I8" i="6"/>
  <c r="E8" i="6"/>
  <c r="F5" i="6"/>
  <c r="G5" i="6"/>
  <c r="H5" i="6"/>
  <c r="I5" i="6"/>
  <c r="E5" i="6"/>
  <c r="G4" i="6"/>
  <c r="H4" i="6"/>
  <c r="I4" i="6"/>
  <c r="D41" i="1"/>
  <c r="D57" i="5" l="1"/>
  <c r="E57" i="5"/>
  <c r="F57" i="5"/>
  <c r="G57" i="5"/>
  <c r="C57" i="5"/>
  <c r="D56" i="5"/>
  <c r="E56" i="5"/>
  <c r="F56" i="5"/>
  <c r="G56" i="5"/>
  <c r="C56" i="5"/>
  <c r="D52" i="5"/>
  <c r="E52" i="5"/>
  <c r="F52" i="5"/>
  <c r="G52" i="5"/>
  <c r="C52" i="5"/>
  <c r="D51" i="5"/>
  <c r="E51" i="5"/>
  <c r="F51" i="5"/>
  <c r="G51" i="5"/>
  <c r="C51" i="5"/>
  <c r="D50" i="5"/>
  <c r="E50" i="5"/>
  <c r="F50" i="5"/>
  <c r="G50" i="5"/>
  <c r="C50" i="5"/>
  <c r="D49" i="5"/>
  <c r="E49" i="5"/>
  <c r="F49" i="5"/>
  <c r="G49" i="5"/>
  <c r="C49" i="5"/>
  <c r="D45" i="5"/>
  <c r="E45" i="5"/>
  <c r="F45" i="5"/>
  <c r="G45" i="5"/>
  <c r="C45" i="5"/>
  <c r="D44" i="5"/>
  <c r="E44" i="5"/>
  <c r="F44" i="5"/>
  <c r="G44" i="5"/>
  <c r="C44" i="5"/>
  <c r="D14" i="5" l="1"/>
  <c r="E14" i="5"/>
  <c r="F14" i="5"/>
  <c r="G14" i="5"/>
  <c r="C14" i="5"/>
  <c r="D13" i="5"/>
  <c r="E13" i="5"/>
  <c r="F13" i="5"/>
  <c r="G13" i="5"/>
  <c r="C13" i="5"/>
  <c r="D8" i="5"/>
  <c r="E8" i="5"/>
  <c r="F8" i="5"/>
  <c r="G8" i="5"/>
  <c r="C8" i="5"/>
  <c r="D7" i="5"/>
  <c r="E7" i="5"/>
  <c r="F7" i="5"/>
  <c r="G7" i="5"/>
  <c r="C7" i="5"/>
  <c r="D9" i="5"/>
  <c r="E9" i="5"/>
  <c r="F9" i="5"/>
  <c r="G9" i="5"/>
  <c r="D6" i="5"/>
  <c r="E6" i="5"/>
  <c r="F6" i="5"/>
  <c r="G6" i="5"/>
  <c r="C6" i="5"/>
  <c r="D5" i="5"/>
  <c r="E5" i="5"/>
  <c r="F5" i="5"/>
  <c r="G5" i="5"/>
  <c r="C5" i="5"/>
  <c r="D4" i="5"/>
  <c r="E4" i="5"/>
  <c r="F4" i="5"/>
  <c r="G4" i="5"/>
  <c r="C4" i="5"/>
  <c r="D3" i="5"/>
  <c r="E3" i="5"/>
  <c r="F3" i="5"/>
  <c r="G3" i="5"/>
  <c r="C3" i="5"/>
  <c r="C40" i="5"/>
  <c r="D40" i="5"/>
  <c r="E40" i="5"/>
  <c r="F40" i="5"/>
  <c r="B40" i="5"/>
  <c r="C37" i="5"/>
  <c r="D37" i="5"/>
  <c r="E37" i="5"/>
  <c r="F37" i="5"/>
  <c r="B37" i="5"/>
  <c r="F34" i="5"/>
  <c r="G16" i="5" s="1"/>
  <c r="E34" i="5"/>
  <c r="F16" i="5" s="1"/>
  <c r="D34" i="5"/>
  <c r="E16" i="5" s="1"/>
  <c r="C34" i="5"/>
  <c r="D16" i="5" s="1"/>
  <c r="B34" i="5"/>
  <c r="C16" i="5" s="1"/>
  <c r="F33" i="5"/>
  <c r="G15" i="5" s="1"/>
  <c r="E33" i="5"/>
  <c r="F15" i="5" s="1"/>
  <c r="D33" i="5"/>
  <c r="E15" i="5" s="1"/>
  <c r="C33" i="5"/>
  <c r="D15" i="5" s="1"/>
  <c r="B33" i="5"/>
  <c r="C15" i="5" s="1"/>
  <c r="E21" i="5" l="1"/>
  <c r="C21" i="5"/>
  <c r="G21" i="5"/>
  <c r="D21" i="5"/>
  <c r="F21" i="5"/>
  <c r="C34" i="4"/>
  <c r="D34" i="4"/>
  <c r="E34" i="4"/>
  <c r="F34" i="4"/>
  <c r="B34" i="4"/>
  <c r="AR31" i="4"/>
  <c r="AQ31" i="4"/>
  <c r="AP31" i="4"/>
  <c r="AO31" i="4"/>
  <c r="AN31" i="4"/>
  <c r="C43" i="4"/>
  <c r="D43" i="4"/>
  <c r="E43" i="4"/>
  <c r="F43" i="4"/>
  <c r="B43" i="4"/>
  <c r="C37" i="4"/>
  <c r="D37" i="4"/>
  <c r="E37" i="4"/>
  <c r="F37" i="4"/>
  <c r="B37" i="4"/>
  <c r="C17" i="4"/>
  <c r="D17" i="4"/>
  <c r="E17" i="4"/>
  <c r="F17" i="4"/>
  <c r="B17" i="4"/>
  <c r="C11" i="4"/>
  <c r="D11" i="4"/>
  <c r="E11" i="4"/>
  <c r="F11" i="4"/>
  <c r="B11" i="4"/>
  <c r="N8" i="4"/>
  <c r="O8" i="4"/>
  <c r="P8" i="4"/>
  <c r="Q8" i="4"/>
  <c r="X9" i="4"/>
  <c r="Y9" i="4"/>
  <c r="Z9" i="4"/>
  <c r="AA9" i="4"/>
  <c r="AB9" i="4"/>
  <c r="AC9" i="4"/>
  <c r="X8" i="4"/>
  <c r="Y8" i="4"/>
  <c r="Z8" i="4"/>
  <c r="AA8" i="4"/>
  <c r="AB8" i="4"/>
  <c r="AC8" i="4"/>
  <c r="B14" i="4"/>
  <c r="B33" i="4"/>
  <c r="F5" i="4"/>
  <c r="E5" i="4"/>
  <c r="D5" i="4"/>
  <c r="C5" i="4"/>
  <c r="B5" i="4"/>
  <c r="C8" i="4"/>
  <c r="D8" i="4"/>
  <c r="E8" i="4"/>
  <c r="F8" i="4"/>
  <c r="B8" i="4"/>
  <c r="F33" i="4"/>
  <c r="E33" i="4"/>
  <c r="D33" i="4"/>
  <c r="C33" i="4"/>
  <c r="F30" i="4"/>
  <c r="M6" i="4" s="1"/>
  <c r="E30" i="4"/>
  <c r="L6" i="4" s="1"/>
  <c r="D30" i="4"/>
  <c r="K6" i="4" s="1"/>
  <c r="C30" i="4"/>
  <c r="J6" i="4" s="1"/>
  <c r="B30" i="4"/>
  <c r="I6" i="4" s="1"/>
  <c r="F27" i="4"/>
  <c r="E27" i="4"/>
  <c r="D27" i="4"/>
  <c r="C27" i="4"/>
  <c r="B27" i="4"/>
  <c r="F23" i="4"/>
  <c r="E23" i="4"/>
  <c r="D23" i="4"/>
  <c r="C23" i="4"/>
  <c r="B23" i="4"/>
  <c r="AC57" i="4"/>
  <c r="AB57" i="4"/>
  <c r="AA57" i="4"/>
  <c r="Z57" i="4"/>
  <c r="Y57" i="4"/>
  <c r="AC23" i="4"/>
  <c r="F40" i="4" s="1"/>
  <c r="AB23" i="4"/>
  <c r="E40" i="4" s="1"/>
  <c r="AA23" i="4"/>
  <c r="D40" i="4" s="1"/>
  <c r="Z23" i="4"/>
  <c r="C40" i="4" s="1"/>
  <c r="Y23" i="4"/>
  <c r="B40" i="4" s="1"/>
  <c r="AC50" i="4"/>
  <c r="AB50" i="4"/>
  <c r="AA50" i="4"/>
  <c r="Z50" i="4"/>
  <c r="Y50" i="4"/>
  <c r="F14" i="4"/>
  <c r="E14" i="4"/>
  <c r="D14" i="4"/>
  <c r="C14" i="4"/>
  <c r="G134" i="3"/>
  <c r="F134" i="3"/>
  <c r="E134" i="3"/>
  <c r="D134" i="3"/>
  <c r="C134" i="3"/>
  <c r="G130" i="3"/>
  <c r="F130" i="3"/>
  <c r="E130" i="3"/>
  <c r="D130" i="3"/>
  <c r="C130" i="3"/>
  <c r="G129" i="3"/>
  <c r="F129" i="3"/>
  <c r="D129" i="3"/>
  <c r="C129" i="3"/>
  <c r="G128" i="3"/>
  <c r="F128" i="3"/>
  <c r="D128" i="3"/>
  <c r="C128" i="3"/>
  <c r="G125" i="3"/>
  <c r="F125" i="3"/>
  <c r="D125" i="3"/>
  <c r="C125" i="3"/>
  <c r="G124" i="3"/>
  <c r="F124" i="3"/>
  <c r="D124" i="3"/>
  <c r="C124" i="3"/>
  <c r="G122" i="3"/>
  <c r="F122" i="3"/>
  <c r="E122" i="3"/>
  <c r="D122" i="3"/>
  <c r="C122" i="3"/>
  <c r="G117" i="3"/>
  <c r="F117" i="3"/>
  <c r="E117" i="3"/>
  <c r="D117" i="3"/>
  <c r="C117" i="3"/>
  <c r="G116" i="3"/>
  <c r="F116" i="3"/>
  <c r="D116" i="3"/>
  <c r="C116" i="3"/>
  <c r="G113" i="3"/>
  <c r="G112" i="3" s="1"/>
  <c r="F113" i="3"/>
  <c r="F112" i="3" s="1"/>
  <c r="E113" i="3"/>
  <c r="E112" i="3" s="1"/>
  <c r="D113" i="3"/>
  <c r="C113" i="3"/>
  <c r="C112" i="3" s="1"/>
  <c r="D112" i="3"/>
  <c r="G111" i="3"/>
  <c r="G110" i="3" s="1"/>
  <c r="F111" i="3"/>
  <c r="E111" i="3"/>
  <c r="E110" i="3" s="1"/>
  <c r="D111" i="3"/>
  <c r="C111" i="3"/>
  <c r="C110" i="3" s="1"/>
  <c r="F110" i="3"/>
  <c r="D110" i="3"/>
  <c r="G107" i="3"/>
  <c r="F107" i="3"/>
  <c r="E107" i="3"/>
  <c r="D107" i="3"/>
  <c r="C107" i="3"/>
  <c r="G103" i="3"/>
  <c r="F103" i="3"/>
  <c r="E103" i="3"/>
  <c r="D103" i="3"/>
  <c r="C103" i="3"/>
  <c r="G102" i="3"/>
  <c r="F102" i="3"/>
  <c r="E102" i="3"/>
  <c r="D102" i="3"/>
  <c r="C102" i="3"/>
  <c r="G99" i="3"/>
  <c r="F99" i="3"/>
  <c r="E99" i="3"/>
  <c r="D99" i="3"/>
  <c r="C99" i="3"/>
  <c r="G91" i="3"/>
  <c r="F91" i="3"/>
  <c r="E91" i="3"/>
  <c r="D91" i="3"/>
  <c r="C91" i="3"/>
  <c r="G86" i="3"/>
  <c r="F86" i="3"/>
  <c r="E86" i="3"/>
  <c r="D86" i="3"/>
  <c r="C86" i="3"/>
  <c r="G84" i="3"/>
  <c r="F84" i="3"/>
  <c r="E84" i="3"/>
  <c r="D84" i="3"/>
  <c r="C84" i="3"/>
  <c r="G82" i="3"/>
  <c r="F82" i="3"/>
  <c r="E82" i="3"/>
  <c r="D82" i="3"/>
  <c r="C82" i="3"/>
  <c r="G81" i="3"/>
  <c r="F81" i="3"/>
  <c r="E81" i="3"/>
  <c r="D81" i="3"/>
  <c r="C81" i="3"/>
  <c r="G76" i="3"/>
  <c r="F76" i="3"/>
  <c r="E76" i="3"/>
  <c r="D76" i="3"/>
  <c r="C76" i="3"/>
  <c r="G69" i="3"/>
  <c r="F69" i="3"/>
  <c r="E69" i="3"/>
  <c r="D69" i="3"/>
  <c r="C69" i="3"/>
  <c r="G67" i="3"/>
  <c r="G100" i="3" s="1"/>
  <c r="F67" i="3"/>
  <c r="F100" i="3" s="1"/>
  <c r="E67" i="3"/>
  <c r="E66" i="3" s="1"/>
  <c r="D67" i="3"/>
  <c r="D66" i="3" s="1"/>
  <c r="C67" i="3"/>
  <c r="C100" i="3" s="1"/>
  <c r="G63" i="3"/>
  <c r="F63" i="3"/>
  <c r="E63" i="3"/>
  <c r="D63" i="3"/>
  <c r="C63" i="3"/>
  <c r="G58" i="3"/>
  <c r="F58" i="3"/>
  <c r="E58" i="3"/>
  <c r="D58" i="3"/>
  <c r="C58" i="3"/>
  <c r="AC52" i="3"/>
  <c r="AB52" i="3"/>
  <c r="AA52" i="3"/>
  <c r="Z52" i="3"/>
  <c r="Y52" i="3"/>
  <c r="AC49" i="3"/>
  <c r="AB49" i="3"/>
  <c r="AA49" i="3"/>
  <c r="Z49" i="3"/>
  <c r="Y49" i="3"/>
  <c r="AC47" i="3"/>
  <c r="AB47" i="3"/>
  <c r="AA47" i="3"/>
  <c r="Z47" i="3"/>
  <c r="Y47" i="3"/>
  <c r="AC46" i="3"/>
  <c r="AB46" i="3"/>
  <c r="Z46" i="3"/>
  <c r="Y46" i="3"/>
  <c r="AC43" i="3"/>
  <c r="AB43" i="3"/>
  <c r="AA43" i="3"/>
  <c r="Z43" i="3"/>
  <c r="Y43" i="3"/>
  <c r="G32" i="3"/>
  <c r="F32" i="3"/>
  <c r="F93" i="3" s="1"/>
  <c r="E32" i="3"/>
  <c r="E93" i="3" s="1"/>
  <c r="D32" i="3"/>
  <c r="C32" i="3"/>
  <c r="G31" i="3"/>
  <c r="F31" i="3"/>
  <c r="F78" i="3" s="1"/>
  <c r="E20" i="4" s="1"/>
  <c r="L5" i="4" s="1"/>
  <c r="L8" i="4" s="1"/>
  <c r="E31" i="3"/>
  <c r="D31" i="3"/>
  <c r="C31" i="3"/>
  <c r="E18" i="6" s="1"/>
  <c r="G30" i="3"/>
  <c r="F30" i="3"/>
  <c r="D30" i="3"/>
  <c r="C30" i="3"/>
  <c r="G29" i="3"/>
  <c r="F29" i="3"/>
  <c r="E29" i="3"/>
  <c r="D29" i="3"/>
  <c r="C29" i="3"/>
  <c r="G27" i="3"/>
  <c r="G87" i="3" s="1"/>
  <c r="F27" i="3"/>
  <c r="F87" i="3" s="1"/>
  <c r="E27" i="3"/>
  <c r="E87" i="3" s="1"/>
  <c r="D27" i="3"/>
  <c r="D87" i="3" s="1"/>
  <c r="C27" i="3"/>
  <c r="C87" i="3" s="1"/>
  <c r="G18" i="3"/>
  <c r="G85" i="3" s="1"/>
  <c r="F18" i="3"/>
  <c r="F85" i="3" s="1"/>
  <c r="E18" i="3"/>
  <c r="E85" i="3" s="1"/>
  <c r="D18" i="3"/>
  <c r="D85" i="3" s="1"/>
  <c r="C18" i="3"/>
  <c r="C85" i="3" s="1"/>
  <c r="D30" i="2"/>
  <c r="D128" i="1"/>
  <c r="E125" i="3"/>
  <c r="D26" i="1"/>
  <c r="E124" i="3" s="1"/>
  <c r="F77" i="3" l="1"/>
  <c r="E24" i="4" s="1"/>
  <c r="C78" i="3"/>
  <c r="B20" i="4" s="1"/>
  <c r="I5" i="4" s="1"/>
  <c r="I8" i="4" s="1"/>
  <c r="E23" i="6"/>
  <c r="G20" i="6"/>
  <c r="G24" i="6"/>
  <c r="G25" i="6"/>
  <c r="C93" i="3"/>
  <c r="E20" i="6"/>
  <c r="E25" i="6"/>
  <c r="E24" i="6"/>
  <c r="E92" i="3"/>
  <c r="G23" i="6"/>
  <c r="F18" i="6"/>
  <c r="I25" i="6"/>
  <c r="I20" i="6"/>
  <c r="I24" i="6"/>
  <c r="Z51" i="3"/>
  <c r="Z53" i="3" s="1"/>
  <c r="F20" i="6"/>
  <c r="F24" i="6"/>
  <c r="F25" i="6"/>
  <c r="D92" i="3"/>
  <c r="F23" i="6"/>
  <c r="H24" i="6"/>
  <c r="H20" i="6"/>
  <c r="H25" i="6"/>
  <c r="F92" i="3"/>
  <c r="H23" i="6"/>
  <c r="E78" i="3"/>
  <c r="D20" i="4" s="1"/>
  <c r="K5" i="4" s="1"/>
  <c r="K8" i="4" s="1"/>
  <c r="C90" i="3"/>
  <c r="G92" i="3"/>
  <c r="I23" i="6"/>
  <c r="F66" i="3"/>
  <c r="E80" i="3"/>
  <c r="E79" i="3" s="1"/>
  <c r="D88" i="3"/>
  <c r="D90" i="3"/>
  <c r="D28" i="1"/>
  <c r="F83" i="3"/>
  <c r="G89" i="3"/>
  <c r="D77" i="3"/>
  <c r="C24" i="4" s="1"/>
  <c r="C77" i="3"/>
  <c r="B24" i="4" s="1"/>
  <c r="C89" i="3"/>
  <c r="F90" i="3"/>
  <c r="E88" i="3"/>
  <c r="E30" i="3"/>
  <c r="E77" i="3" s="1"/>
  <c r="D24" i="4" s="1"/>
  <c r="D78" i="3"/>
  <c r="C20" i="4" s="1"/>
  <c r="J5" i="4" s="1"/>
  <c r="J8" i="4" s="1"/>
  <c r="G90" i="3"/>
  <c r="G66" i="3"/>
  <c r="D80" i="3"/>
  <c r="D79" i="3" s="1"/>
  <c r="F88" i="3"/>
  <c r="D93" i="3"/>
  <c r="E129" i="3"/>
  <c r="D83" i="3"/>
  <c r="E83" i="3"/>
  <c r="G83" i="3"/>
  <c r="C83" i="3"/>
  <c r="D100" i="3"/>
  <c r="G78" i="3"/>
  <c r="F20" i="4" s="1"/>
  <c r="M5" i="4" s="1"/>
  <c r="M8" i="4" s="1"/>
  <c r="Y51" i="3"/>
  <c r="Y53" i="3" s="1"/>
  <c r="G88" i="3"/>
  <c r="C92" i="3"/>
  <c r="C66" i="3"/>
  <c r="G77" i="3"/>
  <c r="F24" i="4" s="1"/>
  <c r="G93" i="3"/>
  <c r="E100" i="3"/>
  <c r="E116" i="3"/>
  <c r="F80" i="3"/>
  <c r="F79" i="3" s="1"/>
  <c r="G80" i="3"/>
  <c r="G79" i="3" s="1"/>
  <c r="E90" i="3"/>
  <c r="AA51" i="3"/>
  <c r="AA53" i="3" s="1"/>
  <c r="D89" i="3"/>
  <c r="E128" i="3"/>
  <c r="AA46" i="3"/>
  <c r="AB51" i="3"/>
  <c r="AB53" i="3" s="1"/>
  <c r="E89" i="3"/>
  <c r="AC51" i="3"/>
  <c r="AC53" i="3" s="1"/>
  <c r="C80" i="3"/>
  <c r="C79" i="3" s="1"/>
  <c r="C88" i="3"/>
  <c r="F89" i="3"/>
  <c r="I22" i="6" l="1"/>
  <c r="H22" i="6"/>
  <c r="I16" i="6"/>
  <c r="E16" i="6"/>
  <c r="G18" i="6"/>
  <c r="F22" i="6"/>
  <c r="I10" i="4"/>
  <c r="H16" i="6"/>
  <c r="F16" i="6"/>
  <c r="G22" i="6"/>
  <c r="E22" i="6"/>
  <c r="G16" i="6"/>
</calcChain>
</file>

<file path=xl/sharedStrings.xml><?xml version="1.0" encoding="utf-8"?>
<sst xmlns="http://schemas.openxmlformats.org/spreadsheetml/2006/main" count="529" uniqueCount="302">
  <si>
    <t>Rupees in ‘000</t>
  </si>
  <si>
    <t>Assets</t>
  </si>
  <si>
    <t>Cash and balances with treasury banks</t>
  </si>
  <si>
    <t>Balances with other banks</t>
  </si>
  <si>
    <t>Lendings to financial institutions</t>
  </si>
  <si>
    <t>–</t>
  </si>
  <si>
    <t>Investments</t>
  </si>
  <si>
    <t>Advances</t>
  </si>
  <si>
    <t>Fixed assets</t>
  </si>
  <si>
    <t>Intangible assets</t>
  </si>
  <si>
    <t>Deferred tax assets</t>
  </si>
  <si>
    <t>Other assets</t>
  </si>
  <si>
    <t>Assets attributable to discontinued operations</t>
  </si>
  <si>
    <t>Total Assets</t>
  </si>
  <si>
    <t>Liabilities</t>
  </si>
  <si>
    <t>Bills payable</t>
  </si>
  <si>
    <t>Borrowings</t>
  </si>
  <si>
    <t>Deposits and other accounts</t>
  </si>
  <si>
    <t>Liabilities against assets subject to finance lease</t>
  </si>
  <si>
    <t>Subordinated debts</t>
  </si>
  <si>
    <t>Deferred tax liabilities</t>
  </si>
  <si>
    <t>Other liabilities</t>
  </si>
  <si>
    <t>Total Liabilites</t>
  </si>
  <si>
    <t>Liabilities associated with discontionued operations</t>
  </si>
  <si>
    <t>Net Assets</t>
  </si>
  <si>
    <t>Represented By</t>
  </si>
  <si>
    <t>Share capital</t>
  </si>
  <si>
    <t>Reserves</t>
  </si>
  <si>
    <t>Surplus on revaluation of assets - net of tax</t>
  </si>
  <si>
    <t>Continued operations</t>
  </si>
  <si>
    <t>Discontinued operations</t>
  </si>
  <si>
    <t>Unappropriated profit</t>
  </si>
  <si>
    <t>Non-controlling interest</t>
  </si>
  <si>
    <t>Equity Capital</t>
  </si>
  <si>
    <t xml:space="preserve">Mark-up / return / interest earned </t>
  </si>
  <si>
    <t xml:space="preserve">77,569,443
</t>
  </si>
  <si>
    <t xml:space="preserve">79,118,320
</t>
  </si>
  <si>
    <t>Mark-up / return / interest expenses</t>
  </si>
  <si>
    <t>Net mark-up / interest income</t>
  </si>
  <si>
    <t>Non mark-up / interest income</t>
  </si>
  <si>
    <t>Fee and commission income</t>
  </si>
  <si>
    <t>Dividend income</t>
  </si>
  <si>
    <t>Foreign exchange income</t>
  </si>
  <si>
    <t>Income / (loss) from derivatives</t>
  </si>
  <si>
    <t>Gain on securities</t>
  </si>
  <si>
    <t>Other income</t>
  </si>
  <si>
    <t>Total non-markup / interest income</t>
  </si>
  <si>
    <t>Total income</t>
  </si>
  <si>
    <t>Non mark-up / interest expenses</t>
  </si>
  <si>
    <t>Operating expenses</t>
  </si>
  <si>
    <t>Workers’ welfare fund</t>
  </si>
  <si>
    <t>Total non-markup / interest expenses</t>
  </si>
  <si>
    <t>Profit before provisions</t>
  </si>
  <si>
    <t>Provisions and write offs - net</t>
  </si>
  <si>
    <t>Extraordinary / unusual items</t>
  </si>
  <si>
    <t>Profit before taxation</t>
  </si>
  <si>
    <t>Taxation</t>
  </si>
  <si>
    <t>Profit after taxation</t>
  </si>
  <si>
    <t>(Loss) / profit after taxation - discontinued operations</t>
  </si>
  <si>
    <t>Attributable to:</t>
  </si>
  <si>
    <t>Equity holders of the Bank</t>
  </si>
  <si>
    <t>Basic and diluted earnings per share</t>
  </si>
  <si>
    <t>Earning Assets</t>
  </si>
  <si>
    <t>Loans and Advances</t>
  </si>
  <si>
    <t>Lending to Financial Institutions - Net</t>
  </si>
  <si>
    <t xml:space="preserve">Balances with other banks </t>
  </si>
  <si>
    <t>TOTAL EARNING ASSETS</t>
  </si>
  <si>
    <t>Interest Bearing Liabilities</t>
  </si>
  <si>
    <t>Deposits (less of Current Accounts)</t>
  </si>
  <si>
    <t>Current Account Deposits</t>
  </si>
  <si>
    <t>Subordinated Debts</t>
  </si>
  <si>
    <t>Lease liability against ROU assets as per IFRS - 16 Leases</t>
  </si>
  <si>
    <t>Total Interest Bearing Liability</t>
  </si>
  <si>
    <t>Net Income</t>
  </si>
  <si>
    <t>Equity</t>
  </si>
  <si>
    <t>Total Operating Revenue</t>
  </si>
  <si>
    <t>Workings</t>
  </si>
  <si>
    <t>USE FOR NEXT RATIOS WHEN GIVEN</t>
  </si>
  <si>
    <t>Return on Equity</t>
  </si>
  <si>
    <t>ROE=(Net Income/ Pre-Tax Net Operating Income) * (Pre-Tax Net Operating Income/Total Operating Revenue) * (Total Operating Revenue/Total Assets) * (Total Assets/ TOtal Equity Capital )</t>
  </si>
  <si>
    <t>Credit Risk</t>
  </si>
  <si>
    <t>Nonperforming Loans/Total Loans</t>
  </si>
  <si>
    <t>Net Charge-Offs/Total Loans</t>
  </si>
  <si>
    <t>Provision for LOan Loses/Total Loans</t>
  </si>
  <si>
    <t>Provision for LOan Loses/Equity Capital</t>
  </si>
  <si>
    <t>Allowance for Loan Losses/ Toal Loans</t>
  </si>
  <si>
    <t>(Net Income/ Pre-Tax Net Operating Income)</t>
  </si>
  <si>
    <t>(Pre-Tax Net Operating Income/Total Operating Revenue)</t>
  </si>
  <si>
    <t>(Total Operating Revenue/Total Assets)</t>
  </si>
  <si>
    <t>(Total Assets/ TOtal Equity Capital )</t>
  </si>
  <si>
    <t xml:space="preserve">Market Risk Measures </t>
  </si>
  <si>
    <t>Book-Value of Assets/Market Value of Assets</t>
  </si>
  <si>
    <t>Book-Value of Equity/Market Value of Equity</t>
  </si>
  <si>
    <t>Market Value Per Share</t>
  </si>
  <si>
    <t>Number of Shares Outstanding</t>
  </si>
  <si>
    <t>Book Value of Shares</t>
  </si>
  <si>
    <t>Book-Value of Bonds/Market Value of Bonds</t>
  </si>
  <si>
    <t>Intrest Sensitive Assets/Intrest Sensitive Liabilities</t>
  </si>
  <si>
    <t>Intrest Sensitive Assets</t>
  </si>
  <si>
    <t>Intrest Sensitive Liabilitis</t>
  </si>
  <si>
    <t xml:space="preserve">Uninsured Deposits/Total Deposits </t>
  </si>
  <si>
    <t xml:space="preserve"> </t>
  </si>
  <si>
    <t>Uninsured Deposits</t>
  </si>
  <si>
    <t>Total Deposits</t>
  </si>
  <si>
    <t>Stock Price/Earnings Per Share</t>
  </si>
  <si>
    <t xml:space="preserve">Stock Price </t>
  </si>
  <si>
    <t>1. Capital Adequecy Ratio</t>
  </si>
  <si>
    <t>Earnings Per Share</t>
  </si>
  <si>
    <t>Ratios</t>
  </si>
  <si>
    <t xml:space="preserve">Income /expense ratio </t>
  </si>
  <si>
    <t>T</t>
  </si>
  <si>
    <t>ROE = NI/ Equity</t>
  </si>
  <si>
    <t>U</t>
  </si>
  <si>
    <t>ROA= NI/TA</t>
  </si>
  <si>
    <t>Gross spread ratio (NIM/Gross interest income)</t>
  </si>
  <si>
    <t>Net Interest Margin</t>
  </si>
  <si>
    <t>J</t>
  </si>
  <si>
    <t>Net non Interest Margin</t>
  </si>
  <si>
    <t>NOM(Net Operating Margin)=(TOR-TOE)/Total Assets</t>
  </si>
  <si>
    <t>A</t>
  </si>
  <si>
    <t>Earning Spread</t>
  </si>
  <si>
    <t>Total Interest Income</t>
  </si>
  <si>
    <t>Total Earning Asset</t>
  </si>
  <si>
    <t>Total Interest Expense</t>
  </si>
  <si>
    <t>Net Profit Margin = NI/ Total Operating Revenue</t>
  </si>
  <si>
    <t>Equity Multiplier =TA/Equity</t>
  </si>
  <si>
    <t>Asset Utilization= Total operating Revenue/TA</t>
  </si>
  <si>
    <t xml:space="preserve">Operating efficiency= Total operating expenses/ Total operating revenues </t>
  </si>
  <si>
    <t>Tax management effeciency = NI/EBT</t>
  </si>
  <si>
    <t>Z</t>
  </si>
  <si>
    <t>Asset management effeciency = Total operating revenue/Total assets</t>
  </si>
  <si>
    <t>Interest Rate Risk Measures</t>
  </si>
  <si>
    <t>Interest Sensitive Assets/ Interest Sensitive Liabilities</t>
  </si>
  <si>
    <t>Abd</t>
  </si>
  <si>
    <t>Uninsured Deposits/Total Deposits</t>
  </si>
  <si>
    <t>Capital Risk Measures</t>
  </si>
  <si>
    <t>Stock Price / Earnings Per Share</t>
  </si>
  <si>
    <t>Equity Capital/Total Assets</t>
  </si>
  <si>
    <t>Net Loans/Total Assets</t>
  </si>
  <si>
    <t xml:space="preserve">Net Loans </t>
  </si>
  <si>
    <t>Cash and Due From Banks/Total Assets</t>
  </si>
  <si>
    <t>Cash and Due From Banks</t>
  </si>
  <si>
    <t>Cash and Government Securities/Total Assets</t>
  </si>
  <si>
    <t>Cash and Government Securities</t>
  </si>
  <si>
    <t>Credit Risk Measures</t>
  </si>
  <si>
    <t>Provision for loan losses/ Equity Capital</t>
  </si>
  <si>
    <t>Provision for loan losses/ Total Loans</t>
  </si>
  <si>
    <t>Allowance for loan losses/ Total Loans</t>
  </si>
  <si>
    <t>Total Loans</t>
  </si>
  <si>
    <t>Other goals in banking</t>
  </si>
  <si>
    <t>employee productivity ratio (net income /no of emplyee)</t>
  </si>
  <si>
    <t>Capital risk measure</t>
  </si>
  <si>
    <t>Purchased funds/Total liabilties</t>
  </si>
  <si>
    <t>Equity capital /Risk Assets</t>
  </si>
  <si>
    <t>Allowance for Loan Losses / Equity Capital</t>
  </si>
  <si>
    <t>Purchased Funds</t>
  </si>
  <si>
    <t>Non Perfoming Loans / Equity Capital</t>
  </si>
  <si>
    <r>
      <rPr>
        <sz val="11"/>
        <color theme="1"/>
        <rFont val="Calibri"/>
        <family val="2"/>
      </rPr>
      <t>Purchased Funds</t>
    </r>
    <r>
      <rPr>
        <sz val="11"/>
        <color theme="1"/>
        <rFont val="Calibri"/>
        <family val="2"/>
      </rPr>
      <t xml:space="preserve"> / Total Assets</t>
    </r>
  </si>
  <si>
    <t>7,534 7,538 7,848</t>
  </si>
  <si>
    <t>WORKING</t>
  </si>
  <si>
    <t>Capital Adequacy</t>
  </si>
  <si>
    <t>Rank</t>
  </si>
  <si>
    <t>Weight</t>
  </si>
  <si>
    <t>Rank x Weight</t>
  </si>
  <si>
    <t>Management</t>
  </si>
  <si>
    <t>Total non performing loans</t>
  </si>
  <si>
    <t>Provision</t>
  </si>
  <si>
    <t>3. Management</t>
  </si>
  <si>
    <t>Admin Exp</t>
  </si>
  <si>
    <t>NI</t>
  </si>
  <si>
    <t>Sensitivity</t>
  </si>
  <si>
    <t>-</t>
  </si>
  <si>
    <t>Unit of Mutual Funds</t>
  </si>
  <si>
    <t>6. Sensitivity</t>
  </si>
  <si>
    <t>Commercial Paper</t>
  </si>
  <si>
    <t xml:space="preserve">Rank </t>
  </si>
  <si>
    <t>Total Securities</t>
  </si>
  <si>
    <t xml:space="preserve">Rank * Weight </t>
  </si>
  <si>
    <t>Deposits</t>
  </si>
  <si>
    <t>1. Capital Adequacy</t>
  </si>
  <si>
    <t>2. Asset Quality</t>
  </si>
  <si>
    <t>4. Earnings</t>
  </si>
  <si>
    <t>Rank x weight</t>
  </si>
  <si>
    <t>CAMELS</t>
  </si>
  <si>
    <r>
      <rPr>
        <b/>
        <sz val="14"/>
        <color theme="9" tint="-0.249977111117893"/>
        <rFont val="Calibri"/>
        <family val="2"/>
      </rPr>
      <t>C</t>
    </r>
    <r>
      <rPr>
        <b/>
        <sz val="14"/>
        <rFont val="Calibri"/>
        <family val="2"/>
      </rPr>
      <t>apital Adequacy</t>
    </r>
  </si>
  <si>
    <r>
      <rPr>
        <b/>
        <sz val="14"/>
        <color theme="9" tint="-0.249977111117893"/>
        <rFont val="Calibri"/>
        <family val="2"/>
      </rPr>
      <t>A</t>
    </r>
    <r>
      <rPr>
        <b/>
        <sz val="14"/>
        <rFont val="Calibri"/>
        <family val="2"/>
      </rPr>
      <t>sset Quality</t>
    </r>
  </si>
  <si>
    <r>
      <rPr>
        <b/>
        <sz val="14"/>
        <color theme="9" tint="-0.249977111117893"/>
        <rFont val="Calibri"/>
        <family val="2"/>
      </rPr>
      <t>M</t>
    </r>
    <r>
      <rPr>
        <b/>
        <sz val="14"/>
        <rFont val="Calibri"/>
        <family val="2"/>
      </rPr>
      <t>anagement</t>
    </r>
  </si>
  <si>
    <r>
      <rPr>
        <b/>
        <sz val="14"/>
        <color theme="9" tint="-0.249977111117893"/>
        <rFont val="Calibri"/>
        <family val="2"/>
      </rPr>
      <t>E</t>
    </r>
    <r>
      <rPr>
        <b/>
        <sz val="14"/>
        <rFont val="Calibri"/>
        <family val="2"/>
      </rPr>
      <t xml:space="preserve">arnings </t>
    </r>
  </si>
  <si>
    <r>
      <rPr>
        <b/>
        <sz val="14"/>
        <color theme="9" tint="-0.249977111117893"/>
        <rFont val="Calibri"/>
        <family val="2"/>
      </rPr>
      <t>L</t>
    </r>
    <r>
      <rPr>
        <b/>
        <sz val="14"/>
        <rFont val="Calibri"/>
        <family val="2"/>
      </rPr>
      <t>iquidity</t>
    </r>
  </si>
  <si>
    <r>
      <rPr>
        <b/>
        <sz val="14"/>
        <color theme="9" tint="-0.249977111117893"/>
        <rFont val="Calibri"/>
        <family val="2"/>
      </rPr>
      <t>S</t>
    </r>
    <r>
      <rPr>
        <b/>
        <sz val="14"/>
        <rFont val="Calibri"/>
        <family val="2"/>
      </rPr>
      <t>ensitivity</t>
    </r>
  </si>
  <si>
    <t>Total</t>
  </si>
  <si>
    <t>Avreage Rating</t>
  </si>
  <si>
    <t>5. Liquidity</t>
  </si>
  <si>
    <t xml:space="preserve">2. Circulating Assets/ Total Assets </t>
  </si>
  <si>
    <t>1. Earnings (ROA)</t>
  </si>
  <si>
    <t>2. Earnings (ROE)</t>
  </si>
  <si>
    <t>1. Advances/Deposits</t>
  </si>
  <si>
    <t>advances</t>
  </si>
  <si>
    <t>total assets</t>
  </si>
  <si>
    <t>Pr</t>
  </si>
  <si>
    <t>Credit Risk Ratios</t>
  </si>
  <si>
    <t>Liquidity Risk Measures</t>
  </si>
  <si>
    <t>Purchased Funds / Total Assets</t>
  </si>
  <si>
    <t>Market Risk Measures</t>
  </si>
  <si>
    <t>Non Performing Loans</t>
  </si>
  <si>
    <r>
      <t>Provisions and write offs - net</t>
    </r>
    <r>
      <rPr>
        <b/>
        <sz val="12"/>
        <color theme="1"/>
        <rFont val="Calibri"/>
        <family val="2"/>
      </rPr>
      <t xml:space="preserve"> (Charge Offs)</t>
    </r>
  </si>
  <si>
    <t>Proviison for Loan Losses</t>
  </si>
  <si>
    <t>Allowance for loan losses</t>
  </si>
  <si>
    <t>Book Value of Equity</t>
  </si>
  <si>
    <t>Market Value of Equity</t>
  </si>
  <si>
    <t>Interest Sensitive Assets/Interest Sensitive Liabilities</t>
  </si>
  <si>
    <t>Other Goals in Banking</t>
  </si>
  <si>
    <t>Operating Efficieny ratio</t>
  </si>
  <si>
    <t>Employee productivity ratio</t>
  </si>
  <si>
    <t>Interest Sensitive Assets</t>
  </si>
  <si>
    <t>Interest Sensitive Liabilities</t>
  </si>
  <si>
    <t>Stock Price</t>
  </si>
  <si>
    <t>No of Employees</t>
  </si>
  <si>
    <t>Formula</t>
  </si>
  <si>
    <t>Return on Equity (ROE)</t>
  </si>
  <si>
    <t>Net income/Total equity</t>
  </si>
  <si>
    <t>Return on Assets (ROA)</t>
  </si>
  <si>
    <t>Net income/Total Asset</t>
  </si>
  <si>
    <t>(Interest income-Interest expense)/Total Assets</t>
  </si>
  <si>
    <t>(Non interest revenue-PLLL-Non interest expense)/Total Assets</t>
  </si>
  <si>
    <t>NOM(Net Operating Margin)</t>
  </si>
  <si>
    <t>Net Operating Revenue/Total Assets</t>
  </si>
  <si>
    <t>Earning Per Share</t>
  </si>
  <si>
    <t>NI/Total Shares Outstanding</t>
  </si>
  <si>
    <t>(Total Interest Income/Total Earning Assets-Total Interest Expense/Total Interest Bearing Liability</t>
  </si>
  <si>
    <t>NPM*EM*AU</t>
  </si>
  <si>
    <t>ROA = Net Profit Margin*Asset Utilization</t>
  </si>
  <si>
    <t xml:space="preserve">Equity Multiplier </t>
  </si>
  <si>
    <t>Total Assets/Total Equity</t>
  </si>
  <si>
    <t>Net Profit Margin</t>
  </si>
  <si>
    <t>NI/Total OP Revenues</t>
  </si>
  <si>
    <t>Asset Utilization</t>
  </si>
  <si>
    <t>Total OP Revenues/Total Assets</t>
  </si>
  <si>
    <t>Expense Control Efficiency*Tax Management Efficiency*Asset Mangement Efficiency*Funds Management Efficiency</t>
  </si>
  <si>
    <t>Tax management efficiency</t>
  </si>
  <si>
    <t>Net Income/Pre-Tax Net Operating Income</t>
  </si>
  <si>
    <t>Expense control efficiency</t>
  </si>
  <si>
    <t>Pre-Tax Net Operating Income/ Total Operating Revenue</t>
  </si>
  <si>
    <t>Asset management efficiency</t>
  </si>
  <si>
    <t>Total Operating Revenue/ Total Assets</t>
  </si>
  <si>
    <t>Funds management efficiency</t>
  </si>
  <si>
    <t>Total Assets/Total Equity Capital</t>
  </si>
  <si>
    <t>PROFITABILITY RATIOS</t>
  </si>
  <si>
    <t>Interest expense</t>
  </si>
  <si>
    <t>Total Earning Assets</t>
  </si>
  <si>
    <t>Total Interest bearing liablity</t>
  </si>
  <si>
    <t>Total expenses</t>
  </si>
  <si>
    <t>total operating revenve</t>
  </si>
  <si>
    <t>Market value of assets</t>
  </si>
  <si>
    <t>Book value of assets</t>
  </si>
  <si>
    <t>-----------</t>
  </si>
  <si>
    <t>Textile</t>
  </si>
  <si>
    <t>Chemical and Pharmaceutical</t>
  </si>
  <si>
    <t>Sugar</t>
  </si>
  <si>
    <t>Food and allied</t>
  </si>
  <si>
    <t xml:space="preserve">Power and energy </t>
  </si>
  <si>
    <t xml:space="preserve">Services </t>
  </si>
  <si>
    <t>TOTAL</t>
  </si>
  <si>
    <t>Others</t>
  </si>
  <si>
    <t>Public Advances</t>
  </si>
  <si>
    <t>Private Advances</t>
  </si>
  <si>
    <t>Non Perfomring Public Advances</t>
  </si>
  <si>
    <t>Non Performing Private</t>
  </si>
  <si>
    <t>Electronics and electrical appliances</t>
  </si>
  <si>
    <t>Power (electricity), Gas, Water, Sanitary</t>
  </si>
  <si>
    <t>Individuals</t>
  </si>
  <si>
    <t>Edible oil and ghee</t>
  </si>
  <si>
    <t>Oil and gas</t>
  </si>
  <si>
    <t>INDUSTRY ANALYSIS</t>
  </si>
  <si>
    <t>Askari Bank</t>
  </si>
  <si>
    <t>Non Performing Loans/ Total Loas</t>
  </si>
  <si>
    <t>ROE</t>
  </si>
  <si>
    <t>EPS</t>
  </si>
  <si>
    <t>Industry</t>
  </si>
  <si>
    <t>CAR</t>
  </si>
  <si>
    <t>NPLs to Gross loans</t>
  </si>
  <si>
    <t>ROA</t>
  </si>
  <si>
    <t>Credit Risk by Credit risk by public / private sector (Advances)</t>
  </si>
  <si>
    <t xml:space="preserve">Public </t>
  </si>
  <si>
    <t>Private</t>
  </si>
  <si>
    <t>Car</t>
  </si>
  <si>
    <t>NPL to gross loans</t>
  </si>
  <si>
    <t>Faysal Bank</t>
  </si>
  <si>
    <t>Operating Efficiency</t>
  </si>
  <si>
    <t>Equity Multiplier</t>
  </si>
  <si>
    <t>Capital Adequacy Ratio</t>
  </si>
  <si>
    <t xml:space="preserve">Return on Equity </t>
  </si>
  <si>
    <t>Return on Asset</t>
  </si>
  <si>
    <t>Standard Chartered Bank</t>
  </si>
  <si>
    <t xml:space="preserve">Advances </t>
  </si>
  <si>
    <t>BOP</t>
  </si>
  <si>
    <t xml:space="preserve">Askari </t>
  </si>
  <si>
    <t xml:space="preserve">Metro </t>
  </si>
  <si>
    <t>Standard Chartered</t>
  </si>
  <si>
    <t>Faysal</t>
  </si>
  <si>
    <t xml:space="preserve">JS Bank 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</si>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</sst>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0000000"/>
    <numFmt numFmtId="165" formatCode="#,##0.000"/>
    <numFmt numFmtId="166" formatCode="0.000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Inconsolata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b/>
      <sz val="11"/>
      <color rgb="FF000000"/>
      <name val="&quot;\&quot;Times New Roman\&quot;&quot;"/>
    </font>
    <font>
      <sz val="11"/>
      <color rgb="FF000000"/>
      <name val="&quot;\&quot;Times New Roman\&quot;&quot;"/>
    </font>
    <font>
      <b/>
      <sz val="11"/>
      <color rgb="FF000000"/>
      <name val="&quot;\&quot;Times New Roman\&quot;&quot;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9" tint="-0.249977111117893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</font>
    <font>
      <b/>
      <sz val="4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E06666"/>
        <bgColor rgb="FFE06666"/>
      </patternFill>
    </fill>
    <fill>
      <patternFill patternType="solid">
        <fgColor rgb="FFDBE5F1"/>
        <bgColor rgb="FFDBE5F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0" fontId="5" fillId="0" borderId="1"/>
    <xf numFmtId="9" fontId="5" fillId="0" borderId="1" applyFont="0" applyFill="0" applyBorder="0" applyAlignment="0" applyProtection="0"/>
    <xf numFmtId="43" fontId="39" fillId="0" borderId="0" applyFont="0" applyFill="0" applyBorder="0" applyAlignment="0" applyProtection="0"/>
    <xf numFmtId="0" fontId="40" fillId="20" borderId="0" applyNumberFormat="0" applyBorder="0" applyAlignment="0" applyProtection="0"/>
    <xf numFmtId="0" fontId="2" fillId="21" borderId="0" applyNumberFormat="0" applyBorder="0" applyAlignment="0" applyProtection="0"/>
  </cellStyleXfs>
  <cellXfs count="266">
    <xf numFmtId="0" fontId="0" fillId="0" borderId="0" xfId="0" applyFont="1" applyAlignment="1"/>
    <xf numFmtId="0" fontId="7" fillId="0" borderId="0" xfId="0" applyFont="1"/>
    <xf numFmtId="3" fontId="8" fillId="0" borderId="0" xfId="0" applyNumberFormat="1" applyFont="1"/>
    <xf numFmtId="3" fontId="8" fillId="2" borderId="1" xfId="0" applyNumberFormat="1" applyFont="1" applyFill="1" applyBorder="1"/>
    <xf numFmtId="0" fontId="9" fillId="0" borderId="0" xfId="0" applyFont="1"/>
    <xf numFmtId="0" fontId="9" fillId="0" borderId="0" xfId="0" applyFont="1" applyAlignment="1"/>
    <xf numFmtId="3" fontId="9" fillId="0" borderId="0" xfId="0" applyNumberFormat="1" applyFont="1" applyAlignment="1"/>
    <xf numFmtId="3" fontId="9" fillId="0" borderId="0" xfId="0" applyNumberFormat="1" applyFont="1"/>
    <xf numFmtId="0" fontId="7" fillId="0" borderId="0" xfId="0" applyFont="1" applyAlignment="1"/>
    <xf numFmtId="3" fontId="8" fillId="0" borderId="0" xfId="0" applyNumberFormat="1" applyFont="1" applyAlignment="1"/>
    <xf numFmtId="0" fontId="10" fillId="0" borderId="0" xfId="0" applyFont="1" applyAlignment="1"/>
    <xf numFmtId="3" fontId="11" fillId="3" borderId="0" xfId="0" applyNumberFormat="1" applyFont="1" applyFill="1" applyAlignment="1"/>
    <xf numFmtId="3" fontId="12" fillId="3" borderId="0" xfId="0" applyNumberFormat="1" applyFont="1" applyFill="1" applyAlignment="1"/>
    <xf numFmtId="0" fontId="9" fillId="4" borderId="0" xfId="0" applyFont="1" applyFill="1" applyAlignment="1"/>
    <xf numFmtId="3" fontId="8" fillId="0" borderId="1" xfId="0" applyNumberFormat="1" applyFont="1" applyBorder="1"/>
    <xf numFmtId="0" fontId="9" fillId="5" borderId="0" xfId="0" applyFont="1" applyFill="1" applyAlignment="1"/>
    <xf numFmtId="0" fontId="9" fillId="0" borderId="0" xfId="0" applyFont="1" applyAlignment="1">
      <alignment horizontal="left"/>
    </xf>
    <xf numFmtId="0" fontId="0" fillId="0" borderId="0" xfId="0" applyFont="1" applyAlignment="1"/>
    <xf numFmtId="0" fontId="13" fillId="3" borderId="0" xfId="0" applyFont="1" applyFill="1" applyAlignment="1"/>
    <xf numFmtId="0" fontId="13" fillId="3" borderId="0" xfId="0" applyFont="1" applyFill="1" applyAlignment="1">
      <alignment horizontal="left"/>
    </xf>
    <xf numFmtId="0" fontId="9" fillId="6" borderId="0" xfId="0" applyFont="1" applyFill="1" applyAlignment="1"/>
    <xf numFmtId="0" fontId="9" fillId="6" borderId="0" xfId="0" applyFont="1" applyFill="1"/>
    <xf numFmtId="0" fontId="9" fillId="7" borderId="0" xfId="0" applyFont="1" applyFill="1" applyAlignment="1"/>
    <xf numFmtId="3" fontId="9" fillId="7" borderId="0" xfId="0" applyNumberFormat="1" applyFont="1" applyFill="1" applyAlignment="1"/>
    <xf numFmtId="4" fontId="9" fillId="7" borderId="0" xfId="0" applyNumberFormat="1" applyFont="1" applyFill="1" applyAlignment="1"/>
    <xf numFmtId="3" fontId="9" fillId="7" borderId="0" xfId="0" applyNumberFormat="1" applyFont="1" applyFill="1"/>
    <xf numFmtId="0" fontId="14" fillId="2" borderId="0" xfId="0" applyFont="1" applyFill="1" applyAlignment="1"/>
    <xf numFmtId="10" fontId="15" fillId="2" borderId="0" xfId="0" applyNumberFormat="1" applyFont="1" applyFill="1" applyAlignment="1">
      <alignment horizontal="center"/>
    </xf>
    <xf numFmtId="0" fontId="10" fillId="8" borderId="0" xfId="0" applyFont="1" applyFill="1" applyAlignment="1"/>
    <xf numFmtId="0" fontId="10" fillId="9" borderId="0" xfId="0" applyFont="1" applyFill="1" applyAlignment="1"/>
    <xf numFmtId="0" fontId="10" fillId="8" borderId="0" xfId="0" applyFont="1" applyFill="1"/>
    <xf numFmtId="164" fontId="10" fillId="8" borderId="0" xfId="0" applyNumberFormat="1" applyFont="1" applyFill="1"/>
    <xf numFmtId="10" fontId="10" fillId="8" borderId="0" xfId="0" applyNumberFormat="1" applyFont="1" applyFill="1"/>
    <xf numFmtId="0" fontId="10" fillId="0" borderId="0" xfId="0" applyFont="1"/>
    <xf numFmtId="0" fontId="9" fillId="8" borderId="0" xfId="0" applyFont="1" applyFill="1" applyAlignment="1"/>
    <xf numFmtId="0" fontId="9" fillId="9" borderId="0" xfId="0" applyFont="1" applyFill="1" applyAlignment="1"/>
    <xf numFmtId="3" fontId="9" fillId="8" borderId="0" xfId="0" applyNumberFormat="1" applyFont="1" applyFill="1"/>
    <xf numFmtId="10" fontId="10" fillId="0" borderId="0" xfId="0" applyNumberFormat="1" applyFont="1"/>
    <xf numFmtId="0" fontId="10" fillId="10" borderId="0" xfId="0" applyFont="1" applyFill="1" applyAlignment="1"/>
    <xf numFmtId="0" fontId="9" fillId="10" borderId="0" xfId="0" applyFont="1" applyFill="1"/>
    <xf numFmtId="0" fontId="9" fillId="10" borderId="0" xfId="0" applyFont="1" applyFill="1" applyAlignment="1"/>
    <xf numFmtId="0" fontId="10" fillId="6" borderId="0" xfId="0" applyFont="1" applyFill="1" applyAlignment="1"/>
    <xf numFmtId="165" fontId="10" fillId="6" borderId="0" xfId="0" applyNumberFormat="1" applyFont="1" applyFill="1" applyAlignment="1"/>
    <xf numFmtId="166" fontId="10" fillId="6" borderId="0" xfId="0" applyNumberFormat="1" applyFont="1" applyFill="1"/>
    <xf numFmtId="0" fontId="9" fillId="11" borderId="0" xfId="0" applyFont="1" applyFill="1" applyAlignment="1"/>
    <xf numFmtId="10" fontId="9" fillId="11" borderId="0" xfId="0" applyNumberFormat="1" applyFont="1" applyFill="1"/>
    <xf numFmtId="10" fontId="9" fillId="0" borderId="0" xfId="0" applyNumberFormat="1" applyFont="1"/>
    <xf numFmtId="0" fontId="10" fillId="2" borderId="0" xfId="0" applyFont="1" applyFill="1" applyAlignment="1"/>
    <xf numFmtId="0" fontId="9" fillId="2" borderId="0" xfId="0" applyFont="1" applyFill="1"/>
    <xf numFmtId="0" fontId="9" fillId="2" borderId="0" xfId="0" applyFont="1" applyFill="1" applyAlignment="1"/>
    <xf numFmtId="0" fontId="14" fillId="0" borderId="0" xfId="0" applyFont="1" applyAlignment="1">
      <alignment horizontal="center"/>
    </xf>
    <xf numFmtId="0" fontId="16" fillId="0" borderId="0" xfId="0" applyFont="1" applyAlignment="1"/>
    <xf numFmtId="0" fontId="15" fillId="0" borderId="0" xfId="0" applyFont="1" applyAlignment="1"/>
    <xf numFmtId="0" fontId="14" fillId="0" borderId="0" xfId="0" applyFont="1" applyAlignment="1"/>
    <xf numFmtId="1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0" fontId="10" fillId="0" borderId="0" xfId="0" applyNumberFormat="1" applyFont="1" applyAlignment="1"/>
    <xf numFmtId="0" fontId="10" fillId="0" borderId="0" xfId="0" applyFont="1" applyAlignment="1"/>
    <xf numFmtId="0" fontId="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20" fillId="12" borderId="2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20" fillId="0" borderId="2" xfId="0" applyFont="1" applyBorder="1" applyAlignment="1">
      <alignment horizontal="center"/>
    </xf>
    <xf numFmtId="10" fontId="21" fillId="0" borderId="2" xfId="0" applyNumberFormat="1" applyFont="1" applyBorder="1" applyAlignment="1">
      <alignment horizontal="center"/>
    </xf>
    <xf numFmtId="2" fontId="21" fillId="0" borderId="2" xfId="0" applyNumberFormat="1" applyFont="1" applyBorder="1" applyAlignment="1">
      <alignment horizontal="center"/>
    </xf>
    <xf numFmtId="1" fontId="21" fillId="0" borderId="2" xfId="1" applyNumberFormat="1" applyFont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21" fillId="0" borderId="2" xfId="0" applyFont="1" applyBorder="1" applyAlignment="1">
      <alignment horizontal="center"/>
    </xf>
    <xf numFmtId="2" fontId="0" fillId="0" borderId="0" xfId="0" applyNumberFormat="1" applyFont="1" applyAlignment="1"/>
    <xf numFmtId="0" fontId="20" fillId="0" borderId="3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2" fontId="22" fillId="0" borderId="0" xfId="0" applyNumberFormat="1" applyFont="1" applyAlignment="1">
      <alignment horizontal="center"/>
    </xf>
    <xf numFmtId="9" fontId="21" fillId="0" borderId="2" xfId="0" applyNumberFormat="1" applyFont="1" applyBorder="1" applyAlignment="1">
      <alignment horizontal="center"/>
    </xf>
    <xf numFmtId="0" fontId="23" fillId="0" borderId="0" xfId="0" applyFont="1" applyFill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0" fillId="0" borderId="0" xfId="0" applyFont="1" applyAlignment="1"/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0" fontId="21" fillId="0" borderId="2" xfId="0" applyNumberFormat="1" applyFont="1" applyFill="1" applyBorder="1" applyAlignment="1">
      <alignment horizontal="center"/>
    </xf>
    <xf numFmtId="0" fontId="24" fillId="0" borderId="0" xfId="0" applyFont="1" applyAlignment="1"/>
    <xf numFmtId="0" fontId="25" fillId="0" borderId="0" xfId="0" applyFont="1" applyAlignment="1"/>
    <xf numFmtId="10" fontId="0" fillId="0" borderId="0" xfId="1" applyNumberFormat="1" applyFont="1" applyAlignment="1"/>
    <xf numFmtId="0" fontId="0" fillId="0" borderId="0" xfId="0" applyFont="1" applyAlignment="1"/>
    <xf numFmtId="0" fontId="0" fillId="0" borderId="1" xfId="0" applyBorder="1"/>
    <xf numFmtId="0" fontId="25" fillId="0" borderId="1" xfId="2" applyFont="1" applyFill="1"/>
    <xf numFmtId="3" fontId="28" fillId="0" borderId="1" xfId="2" applyNumberFormat="1" applyFont="1"/>
    <xf numFmtId="3" fontId="28" fillId="0" borderId="1" xfId="2" applyNumberFormat="1" applyFont="1" applyAlignment="1"/>
    <xf numFmtId="3" fontId="28" fillId="0" borderId="1" xfId="2" applyNumberFormat="1" applyFont="1"/>
    <xf numFmtId="3" fontId="28" fillId="0" borderId="1" xfId="2" applyNumberFormat="1" applyFont="1" applyAlignment="1"/>
    <xf numFmtId="3" fontId="5" fillId="0" borderId="1" xfId="2" applyNumberFormat="1" applyFont="1" applyAlignment="1"/>
    <xf numFmtId="3" fontId="28" fillId="0" borderId="1" xfId="2" applyNumberFormat="1" applyFont="1"/>
    <xf numFmtId="3" fontId="28" fillId="0" borderId="1" xfId="2" applyNumberFormat="1" applyFont="1"/>
    <xf numFmtId="3" fontId="28" fillId="0" borderId="1" xfId="2" applyNumberFormat="1" applyFont="1" applyAlignment="1"/>
    <xf numFmtId="3" fontId="28" fillId="0" borderId="1" xfId="2" applyNumberFormat="1" applyFont="1"/>
    <xf numFmtId="3" fontId="28" fillId="0" borderId="1" xfId="2" applyNumberFormat="1" applyFont="1"/>
    <xf numFmtId="3" fontId="28" fillId="0" borderId="1" xfId="2" applyNumberFormat="1" applyFont="1" applyAlignment="1"/>
    <xf numFmtId="3" fontId="28" fillId="0" borderId="1" xfId="2" applyNumberFormat="1" applyFont="1" applyFill="1"/>
    <xf numFmtId="3" fontId="28" fillId="0" borderId="1" xfId="2" applyNumberFormat="1" applyFont="1" applyFill="1" applyAlignment="1"/>
    <xf numFmtId="3" fontId="28" fillId="14" borderId="1" xfId="2" applyNumberFormat="1" applyFont="1" applyFill="1" applyBorder="1"/>
    <xf numFmtId="0" fontId="25" fillId="0" borderId="1" xfId="2" applyFont="1"/>
    <xf numFmtId="3" fontId="28" fillId="0" borderId="1" xfId="2" applyNumberFormat="1" applyFont="1"/>
    <xf numFmtId="0" fontId="25" fillId="0" borderId="1" xfId="2" applyFont="1" applyAlignment="1"/>
    <xf numFmtId="3" fontId="28" fillId="0" borderId="1" xfId="2" applyNumberFormat="1" applyFont="1" applyAlignment="1"/>
    <xf numFmtId="0" fontId="24" fillId="0" borderId="1" xfId="2" applyFont="1" applyAlignment="1"/>
    <xf numFmtId="3" fontId="5" fillId="0" borderId="1" xfId="2" applyNumberFormat="1" applyFont="1" applyFill="1" applyAlignment="1"/>
    <xf numFmtId="3" fontId="5" fillId="0" borderId="1" xfId="2" applyNumberFormat="1" applyFont="1" applyFill="1"/>
    <xf numFmtId="0" fontId="5" fillId="0" borderId="1" xfId="2" applyFont="1" applyFill="1" applyAlignment="1"/>
    <xf numFmtId="0" fontId="24" fillId="0" borderId="1" xfId="2" applyFont="1" applyFill="1" applyAlignment="1"/>
    <xf numFmtId="0" fontId="9" fillId="0" borderId="0" xfId="0" applyFont="1" applyAlignment="1"/>
    <xf numFmtId="10" fontId="21" fillId="0" borderId="5" xfId="0" applyNumberFormat="1" applyFont="1" applyBorder="1" applyAlignment="1">
      <alignment horizontal="center"/>
    </xf>
    <xf numFmtId="0" fontId="31" fillId="0" borderId="4" xfId="0" applyFont="1" applyBorder="1"/>
    <xf numFmtId="0" fontId="32" fillId="15" borderId="4" xfId="0" applyFont="1" applyFill="1" applyBorder="1" applyAlignment="1">
      <alignment horizontal="center"/>
    </xf>
    <xf numFmtId="0" fontId="32" fillId="12" borderId="5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10" fontId="31" fillId="15" borderId="5" xfId="0" applyNumberFormat="1" applyFont="1" applyFill="1" applyBorder="1" applyAlignment="1">
      <alignment horizontal="center"/>
    </xf>
    <xf numFmtId="10" fontId="31" fillId="0" borderId="5" xfId="0" applyNumberFormat="1" applyFont="1" applyBorder="1" applyAlignment="1">
      <alignment horizontal="center"/>
    </xf>
    <xf numFmtId="0" fontId="31" fillId="13" borderId="4" xfId="0" applyFont="1" applyFill="1" applyBorder="1" applyAlignment="1">
      <alignment horizontal="center"/>
    </xf>
    <xf numFmtId="10" fontId="31" fillId="13" borderId="5" xfId="0" applyNumberFormat="1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3" fontId="8" fillId="16" borderId="0" xfId="0" applyNumberFormat="1" applyFont="1" applyFill="1"/>
    <xf numFmtId="3" fontId="0" fillId="0" borderId="0" xfId="0" applyNumberFormat="1" applyFont="1" applyAlignment="1"/>
    <xf numFmtId="3" fontId="8" fillId="14" borderId="1" xfId="0" applyNumberFormat="1" applyFont="1" applyFill="1" applyBorder="1"/>
    <xf numFmtId="0" fontId="7" fillId="17" borderId="0" xfId="0" applyFont="1" applyFill="1" applyAlignment="1"/>
    <xf numFmtId="3" fontId="0" fillId="17" borderId="0" xfId="0" applyNumberFormat="1" applyFont="1" applyFill="1" applyAlignment="1"/>
    <xf numFmtId="0" fontId="0" fillId="17" borderId="0" xfId="0" applyFont="1" applyFill="1" applyAlignment="1"/>
    <xf numFmtId="0" fontId="0" fillId="0" borderId="0" xfId="0" applyFont="1" applyAlignment="1"/>
    <xf numFmtId="0" fontId="8" fillId="0" borderId="0" xfId="1" applyNumberFormat="1" applyFont="1"/>
    <xf numFmtId="0" fontId="8" fillId="0" borderId="0" xfId="1" applyNumberFormat="1" applyFont="1" applyAlignment="1"/>
    <xf numFmtId="0" fontId="0" fillId="0" borderId="0" xfId="1" applyNumberFormat="1" applyFont="1" applyAlignment="1"/>
    <xf numFmtId="0" fontId="0" fillId="0" borderId="0" xfId="0" applyFont="1" applyAlignment="1"/>
    <xf numFmtId="0" fontId="0" fillId="0" borderId="7" xfId="0" applyFont="1" applyBorder="1" applyAlignment="1"/>
    <xf numFmtId="0" fontId="33" fillId="16" borderId="7" xfId="0" applyFont="1" applyFill="1" applyBorder="1" applyAlignment="1">
      <alignment horizontal="center"/>
    </xf>
    <xf numFmtId="0" fontId="0" fillId="16" borderId="7" xfId="0" applyFont="1" applyFill="1" applyBorder="1" applyAlignment="1"/>
    <xf numFmtId="0" fontId="33" fillId="19" borderId="7" xfId="0" applyFont="1" applyFill="1" applyBorder="1" applyAlignment="1">
      <alignment horizontal="center"/>
    </xf>
    <xf numFmtId="166" fontId="30" fillId="16" borderId="7" xfId="0" applyNumberFormat="1" applyFont="1" applyFill="1" applyBorder="1" applyAlignment="1">
      <alignment horizontal="center"/>
    </xf>
    <xf numFmtId="10" fontId="30" fillId="16" borderId="7" xfId="0" applyNumberFormat="1" applyFont="1" applyFill="1" applyBorder="1" applyAlignment="1">
      <alignment horizontal="center"/>
    </xf>
    <xf numFmtId="0" fontId="30" fillId="16" borderId="7" xfId="0" applyFont="1" applyFill="1" applyBorder="1" applyAlignment="1"/>
    <xf numFmtId="0" fontId="0" fillId="16" borderId="7" xfId="0" applyFill="1" applyBorder="1"/>
    <xf numFmtId="0" fontId="4" fillId="16" borderId="7" xfId="0" applyFont="1" applyFill="1" applyBorder="1" applyAlignment="1"/>
    <xf numFmtId="0" fontId="7" fillId="19" borderId="7" xfId="0" applyFont="1" applyFill="1" applyBorder="1" applyAlignment="1">
      <alignment horizontal="center"/>
    </xf>
    <xf numFmtId="2" fontId="8" fillId="16" borderId="7" xfId="0" applyNumberFormat="1" applyFont="1" applyFill="1" applyBorder="1" applyAlignment="1">
      <alignment horizontal="center"/>
    </xf>
    <xf numFmtId="10" fontId="8" fillId="16" borderId="7" xfId="0" applyNumberFormat="1" applyFont="1" applyFill="1" applyBorder="1" applyAlignment="1">
      <alignment horizontal="center"/>
    </xf>
    <xf numFmtId="0" fontId="8" fillId="16" borderId="7" xfId="0" applyFont="1" applyFill="1" applyBorder="1" applyAlignment="1"/>
    <xf numFmtId="0" fontId="4" fillId="16" borderId="7" xfId="0" applyFont="1" applyFill="1" applyBorder="1"/>
    <xf numFmtId="0" fontId="33" fillId="16" borderId="7" xfId="0" applyFont="1" applyFill="1" applyBorder="1" applyAlignment="1">
      <alignment horizontal="left"/>
    </xf>
    <xf numFmtId="0" fontId="0" fillId="16" borderId="7" xfId="0" applyFont="1" applyFill="1" applyBorder="1" applyAlignment="1">
      <alignment horizontal="left"/>
    </xf>
    <xf numFmtId="0" fontId="7" fillId="16" borderId="7" xfId="0" applyFont="1" applyFill="1" applyBorder="1" applyAlignment="1">
      <alignment horizontal="left"/>
    </xf>
    <xf numFmtId="0" fontId="4" fillId="16" borderId="7" xfId="0" applyFont="1" applyFill="1" applyBorder="1" applyAlignment="1">
      <alignment horizontal="left"/>
    </xf>
    <xf numFmtId="10" fontId="33" fillId="16" borderId="7" xfId="0" applyNumberFormat="1" applyFont="1" applyFill="1" applyBorder="1" applyAlignment="1">
      <alignment horizontal="left"/>
    </xf>
    <xf numFmtId="0" fontId="24" fillId="0" borderId="7" xfId="0" applyFont="1" applyBorder="1" applyAlignment="1"/>
    <xf numFmtId="0" fontId="7" fillId="0" borderId="7" xfId="0" applyFont="1" applyBorder="1"/>
    <xf numFmtId="3" fontId="6" fillId="0" borderId="7" xfId="0" applyNumberFormat="1" applyFont="1" applyBorder="1" applyAlignment="1"/>
    <xf numFmtId="3" fontId="9" fillId="0" borderId="7" xfId="0" applyNumberFormat="1" applyFont="1" applyBorder="1" applyAlignment="1"/>
    <xf numFmtId="0" fontId="25" fillId="0" borderId="7" xfId="0" applyFont="1" applyBorder="1"/>
    <xf numFmtId="3" fontId="8" fillId="0" borderId="7" xfId="0" applyNumberFormat="1" applyFont="1" applyBorder="1"/>
    <xf numFmtId="0" fontId="25" fillId="0" borderId="7" xfId="0" applyFont="1" applyBorder="1" applyAlignment="1"/>
    <xf numFmtId="3" fontId="9" fillId="0" borderId="7" xfId="0" applyNumberFormat="1" applyFont="1" applyBorder="1"/>
    <xf numFmtId="0" fontId="9" fillId="7" borderId="7" xfId="0" applyFont="1" applyFill="1" applyBorder="1" applyAlignment="1"/>
    <xf numFmtId="3" fontId="9" fillId="7" borderId="7" xfId="0" applyNumberFormat="1" applyFont="1" applyFill="1" applyBorder="1" applyAlignment="1"/>
    <xf numFmtId="4" fontId="9" fillId="7" borderId="7" xfId="0" applyNumberFormat="1" applyFont="1" applyFill="1" applyBorder="1" applyAlignment="1"/>
    <xf numFmtId="0" fontId="24" fillId="0" borderId="7" xfId="0" applyFont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8" fillId="0" borderId="7" xfId="0" applyNumberFormat="1" applyFont="1" applyBorder="1" applyAlignment="1">
      <alignment horizontal="center"/>
    </xf>
    <xf numFmtId="3" fontId="8" fillId="2" borderId="7" xfId="0" applyNumberFormat="1" applyFont="1" applyFill="1" applyBorder="1" applyAlignment="1">
      <alignment horizontal="center"/>
    </xf>
    <xf numFmtId="3" fontId="9" fillId="7" borderId="7" xfId="0" applyNumberFormat="1" applyFont="1" applyFill="1" applyBorder="1" applyAlignment="1">
      <alignment horizontal="center"/>
    </xf>
    <xf numFmtId="4" fontId="9" fillId="7" borderId="7" xfId="0" applyNumberFormat="1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4" fillId="0" borderId="0" xfId="0" quotePrefix="1" applyFont="1" applyAlignment="1"/>
    <xf numFmtId="0" fontId="0" fillId="18" borderId="0" xfId="0" applyFont="1" applyFill="1" applyAlignment="1"/>
    <xf numFmtId="10" fontId="0" fillId="18" borderId="0" xfId="1" applyNumberFormat="1" applyFont="1" applyFill="1" applyAlignment="1"/>
    <xf numFmtId="0" fontId="0" fillId="0" borderId="0" xfId="0" applyFont="1" applyAlignment="1"/>
    <xf numFmtId="0" fontId="7" fillId="0" borderId="0" xfId="0" applyFont="1" applyFill="1"/>
    <xf numFmtId="2" fontId="0" fillId="0" borderId="0" xfId="0" applyNumberFormat="1" applyFont="1" applyFill="1" applyAlignment="1"/>
    <xf numFmtId="0" fontId="0" fillId="0" borderId="0" xfId="0" applyFont="1" applyFill="1" applyAlignment="1"/>
    <xf numFmtId="2" fontId="8" fillId="0" borderId="1" xfId="0" applyNumberFormat="1" applyFont="1" applyFill="1" applyBorder="1"/>
    <xf numFmtId="2" fontId="8" fillId="0" borderId="0" xfId="0" applyNumberFormat="1" applyFont="1" applyFill="1"/>
    <xf numFmtId="3" fontId="8" fillId="0" borderId="0" xfId="0" applyNumberFormat="1" applyFont="1" applyFill="1"/>
    <xf numFmtId="3" fontId="8" fillId="0" borderId="1" xfId="0" applyNumberFormat="1" applyFont="1" applyFill="1" applyBorder="1" applyAlignment="1"/>
    <xf numFmtId="3" fontId="8" fillId="0" borderId="1" xfId="0" applyNumberFormat="1" applyFont="1" applyFill="1" applyBorder="1"/>
    <xf numFmtId="3" fontId="8" fillId="0" borderId="0" xfId="0" applyNumberFormat="1" applyFont="1" applyFill="1" applyAlignment="1"/>
    <xf numFmtId="0" fontId="9" fillId="0" borderId="0" xfId="0" applyFont="1" applyFill="1"/>
    <xf numFmtId="0" fontId="8" fillId="0" borderId="1" xfId="0" applyFont="1" applyFill="1" applyBorder="1"/>
    <xf numFmtId="0" fontId="9" fillId="0" borderId="0" xfId="0" applyFont="1" applyFill="1" applyAlignment="1"/>
    <xf numFmtId="3" fontId="30" fillId="0" borderId="0" xfId="0" applyNumberFormat="1" applyFont="1" applyFill="1"/>
    <xf numFmtId="3" fontId="0" fillId="0" borderId="0" xfId="0" applyNumberFormat="1" applyFont="1" applyFill="1" applyAlignment="1"/>
    <xf numFmtId="0" fontId="8" fillId="0" borderId="1" xfId="0" applyFont="1" applyFill="1" applyBorder="1" applyAlignment="1"/>
    <xf numFmtId="0" fontId="33" fillId="0" borderId="0" xfId="0" applyFont="1" applyFill="1"/>
    <xf numFmtId="0" fontId="36" fillId="0" borderId="0" xfId="0" applyFont="1" applyFill="1" applyAlignment="1"/>
    <xf numFmtId="3" fontId="30" fillId="0" borderId="1" xfId="0" applyNumberFormat="1" applyFont="1" applyFill="1" applyBorder="1"/>
    <xf numFmtId="0" fontId="36" fillId="0" borderId="0" xfId="0" applyFont="1" applyFill="1"/>
    <xf numFmtId="3" fontId="37" fillId="0" borderId="0" xfId="0" applyNumberFormat="1" applyFont="1" applyFill="1" applyAlignment="1"/>
    <xf numFmtId="3" fontId="36" fillId="0" borderId="0" xfId="0" applyNumberFormat="1" applyFont="1" applyFill="1" applyAlignment="1"/>
    <xf numFmtId="3" fontId="36" fillId="0" borderId="0" xfId="0" applyNumberFormat="1" applyFont="1" applyFill="1"/>
    <xf numFmtId="0" fontId="33" fillId="0" borderId="0" xfId="0" applyFont="1" applyFill="1" applyAlignment="1"/>
    <xf numFmtId="3" fontId="30" fillId="0" borderId="0" xfId="0" applyNumberFormat="1" applyFont="1" applyFill="1" applyAlignment="1"/>
    <xf numFmtId="3" fontId="30" fillId="0" borderId="1" xfId="0" applyNumberFormat="1" applyFont="1" applyFill="1" applyBorder="1" applyAlignment="1"/>
    <xf numFmtId="0" fontId="37" fillId="0" borderId="0" xfId="0" applyFont="1" applyFill="1" applyAlignment="1"/>
    <xf numFmtId="0" fontId="0" fillId="0" borderId="0" xfId="0" applyFont="1" applyAlignment="1"/>
    <xf numFmtId="0" fontId="0" fillId="0" borderId="0" xfId="0" applyFont="1" applyAlignment="1"/>
    <xf numFmtId="2" fontId="9" fillId="0" borderId="0" xfId="1" applyNumberFormat="1" applyFont="1"/>
    <xf numFmtId="2" fontId="8" fillId="14" borderId="1" xfId="1" applyNumberFormat="1" applyFont="1" applyFill="1" applyBorder="1"/>
    <xf numFmtId="2" fontId="8" fillId="14" borderId="1" xfId="1" applyNumberFormat="1" applyFont="1" applyFill="1" applyBorder="1" applyAlignment="1"/>
    <xf numFmtId="0" fontId="8" fillId="0" borderId="1" xfId="0" applyNumberFormat="1" applyFont="1" applyFill="1" applyBorder="1" applyAlignment="1">
      <alignment horizontal="right"/>
    </xf>
    <xf numFmtId="0" fontId="8" fillId="0" borderId="1" xfId="0" applyNumberFormat="1" applyFont="1" applyFill="1" applyBorder="1"/>
    <xf numFmtId="0" fontId="8" fillId="0" borderId="0" xfId="0" applyNumberFormat="1" applyFont="1" applyFill="1"/>
    <xf numFmtId="0" fontId="8" fillId="0" borderId="0" xfId="0" applyNumberFormat="1" applyFont="1" applyFill="1" applyAlignment="1"/>
    <xf numFmtId="49" fontId="8" fillId="0" borderId="1" xfId="0" applyNumberFormat="1" applyFont="1" applyFill="1" applyBorder="1" applyAlignment="1">
      <alignment horizontal="right"/>
    </xf>
    <xf numFmtId="10" fontId="0" fillId="0" borderId="0" xfId="0" applyNumberFormat="1"/>
    <xf numFmtId="10" fontId="0" fillId="0" borderId="1" xfId="0" applyNumberFormat="1" applyBorder="1"/>
    <xf numFmtId="10" fontId="0" fillId="0" borderId="7" xfId="1" applyNumberFormat="1" applyFont="1" applyBorder="1"/>
    <xf numFmtId="0" fontId="10" fillId="0" borderId="1" xfId="0" applyFont="1" applyBorder="1"/>
    <xf numFmtId="43" fontId="0" fillId="0" borderId="1" xfId="4" applyFont="1" applyFill="1" applyBorder="1"/>
    <xf numFmtId="2" fontId="3" fillId="0" borderId="1" xfId="1" applyNumberFormat="1" applyFont="1" applyBorder="1"/>
    <xf numFmtId="0" fontId="0" fillId="0" borderId="1" xfId="0" applyFont="1" applyBorder="1" applyAlignment="1"/>
    <xf numFmtId="10" fontId="0" fillId="0" borderId="1" xfId="1" applyNumberFormat="1" applyFont="1" applyBorder="1" applyAlignment="1"/>
    <xf numFmtId="0" fontId="0" fillId="0" borderId="1" xfId="1" applyNumberFormat="1" applyFont="1" applyBorder="1" applyAlignment="1"/>
    <xf numFmtId="10" fontId="0" fillId="0" borderId="1" xfId="1" applyNumberFormat="1" applyFont="1" applyBorder="1"/>
    <xf numFmtId="10" fontId="0" fillId="0" borderId="7" xfId="1" applyNumberFormat="1" applyFont="1" applyBorder="1" applyAlignment="1"/>
    <xf numFmtId="0" fontId="10" fillId="0" borderId="7" xfId="0" applyFont="1" applyBorder="1" applyAlignment="1"/>
    <xf numFmtId="0" fontId="10" fillId="0" borderId="1" xfId="0" applyFont="1" applyBorder="1" applyAlignment="1">
      <alignment horizontal="center"/>
    </xf>
    <xf numFmtId="0" fontId="0" fillId="0" borderId="1" xfId="0" applyBorder="1" applyAlignment="1"/>
    <xf numFmtId="0" fontId="3" fillId="0" borderId="1" xfId="0" applyFont="1" applyBorder="1"/>
    <xf numFmtId="10" fontId="10" fillId="0" borderId="0" xfId="1" applyNumberFormat="1" applyFont="1" applyAlignment="1"/>
    <xf numFmtId="10" fontId="3" fillId="0" borderId="0" xfId="1" applyNumberFormat="1" applyFont="1" applyAlignment="1"/>
    <xf numFmtId="10" fontId="3" fillId="0" borderId="1" xfId="1" applyNumberFormat="1" applyFont="1" applyBorder="1"/>
    <xf numFmtId="2" fontId="0" fillId="0" borderId="0" xfId="1" applyNumberFormat="1" applyFont="1" applyAlignment="1"/>
    <xf numFmtId="2" fontId="3" fillId="0" borderId="0" xfId="0" applyNumberFormat="1" applyFont="1" applyAlignment="1"/>
    <xf numFmtId="0" fontId="10" fillId="16" borderId="1" xfId="5" applyFont="1" applyFill="1" applyBorder="1" applyAlignment="1">
      <alignment horizontal="center"/>
    </xf>
    <xf numFmtId="0" fontId="2" fillId="0" borderId="7" xfId="0" applyFont="1" applyBorder="1"/>
    <xf numFmtId="10" fontId="2" fillId="0" borderId="7" xfId="0" applyNumberFormat="1" applyFont="1" applyBorder="1"/>
    <xf numFmtId="0" fontId="2" fillId="0" borderId="7" xfId="0" applyFont="1" applyBorder="1" applyAlignment="1"/>
    <xf numFmtId="10" fontId="2" fillId="0" borderId="7" xfId="1" applyNumberFormat="1" applyFont="1" applyBorder="1" applyAlignment="1"/>
    <xf numFmtId="10" fontId="2" fillId="16" borderId="7" xfId="6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1" xfId="1" applyNumberFormat="1" applyFont="1" applyBorder="1" applyAlignment="1"/>
    <xf numFmtId="3" fontId="10" fillId="0" borderId="1" xfId="0" applyNumberFormat="1" applyFont="1" applyBorder="1"/>
    <xf numFmtId="10" fontId="2" fillId="0" borderId="1" xfId="1" applyNumberFormat="1" applyFont="1" applyBorder="1"/>
    <xf numFmtId="0" fontId="35" fillId="0" borderId="1" xfId="0" applyFont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9" fillId="18" borderId="1" xfId="0" applyFont="1" applyFill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0" fontId="27" fillId="18" borderId="0" xfId="0" applyFont="1" applyFill="1" applyAlignment="1">
      <alignment horizontal="center"/>
    </xf>
    <xf numFmtId="0" fontId="34" fillId="18" borderId="6" xfId="0" applyFont="1" applyFill="1" applyBorder="1" applyAlignment="1">
      <alignment horizontal="center"/>
    </xf>
    <xf numFmtId="0" fontId="34" fillId="18" borderId="1" xfId="0" applyFont="1" applyFill="1" applyBorder="1" applyAlignment="1">
      <alignment horizontal="center"/>
    </xf>
    <xf numFmtId="0" fontId="9" fillId="0" borderId="0" xfId="0" applyFont="1" applyAlignment="1"/>
    <xf numFmtId="0" fontId="0" fillId="0" borderId="0" xfId="0" applyFont="1" applyAlignment="1"/>
    <xf numFmtId="0" fontId="38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/>
    <xf numFmtId="9" fontId="0" fillId="0" borderId="0" xfId="1" applyFont="1" applyAlignment="1"/>
  </cellXfs>
  <cellStyles count="7">
    <cellStyle name="40% - Accent2" xfId="6" builtinId="35"/>
    <cellStyle name="Accent2" xfId="5" builtinId="33"/>
    <cellStyle name="Comma" xfId="4" builtinId="3"/>
    <cellStyle name="Normal" xfId="0" builtinId="0"/>
    <cellStyle name="Normal 2" xfId="2" xr:uid="{00000000-0005-0000-0000-000001000000}"/>
    <cellStyle name="Percent" xfId="1" builtinId="5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Ratios'!$A$64</c:f>
              <c:strCache>
                <c:ptCount val="1"/>
                <c:pt idx="0">
                  <c:v>Uninsured Deposits/Total Deposits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'Risk Ratios'!$B$64:$F$64</c:f>
              <c:numCache>
                <c:formatCode>0.00%</c:formatCode>
                <c:ptCount val="5"/>
                <c:pt idx="0">
                  <c:v>0.60150352363038317</c:v>
                </c:pt>
                <c:pt idx="1">
                  <c:v>0.95457933838650033</c:v>
                </c:pt>
                <c:pt idx="2">
                  <c:v>0.57388256878498511</c:v>
                </c:pt>
                <c:pt idx="3">
                  <c:v>0.54748613552497316</c:v>
                </c:pt>
                <c:pt idx="4">
                  <c:v>0.54793223807334746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D-4680-B82B-8BC0AD6774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8559968"/>
        <c:axId val="498562264"/>
      </c:lineChart>
      <c:catAx>
        <c:axId val="4985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62264"/>
        <c:crosses val="autoZero"/>
        <c:auto val="1"/>
        <c:lblAlgn val="ctr"/>
        <c:lblOffset val="100"/>
        <c:noMultiLvlLbl val="0"/>
      </c:catAx>
      <c:valAx>
        <c:axId val="498562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49855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Ratios'!$A$65</c:f>
              <c:strCache>
                <c:ptCount val="1"/>
                <c:pt idx="0">
                  <c:v>Employee productivity ratio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'Risk Ratios'!$B$65:$F$65</c:f>
              <c:numCache>
                <c:formatCode>General</c:formatCode>
                <c:ptCount val="5"/>
                <c:pt idx="0">
                  <c:v>1299.2421770526878</c:v>
                </c:pt>
                <c:pt idx="1">
                  <c:v>1417.7326978323322</c:v>
                </c:pt>
                <c:pt idx="2">
                  <c:v>931.49734536766653</c:v>
                </c:pt>
                <c:pt idx="3">
                  <c:v>587.85858317856196</c:v>
                </c:pt>
                <c:pt idx="4">
                  <c:v>652.61034658511721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1-4F43-96C4-22090D7032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5296912"/>
        <c:axId val="495297240"/>
      </c:lineChart>
      <c:catAx>
        <c:axId val="4952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297240"/>
        <c:crosses val="autoZero"/>
        <c:auto val="1"/>
        <c:lblAlgn val="ctr"/>
        <c:lblOffset val="100"/>
        <c:noMultiLvlLbl val="0"/>
      </c:catAx>
      <c:valAx>
        <c:axId val="495297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529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'Risk Ratios'!$A$63</c:f>
              <c:strCache>
                <c:ptCount val="1"/>
                <c:pt idx="0">
                  <c:v>Nonperforming Loans/Total Loans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'Risk Ratios'!$B$63:$F$63</c:f>
              <c:numCache>
                <c:formatCode>0.00%</c:formatCode>
                <c:ptCount val="5"/>
                <c:pt idx="0">
                  <c:v>6.5244059355732256E-2</c:v>
                </c:pt>
                <c:pt idx="1">
                  <c:v>7.2673829594501416E-2</c:v>
                </c:pt>
                <c:pt idx="2">
                  <c:v>7.5438513527685089E-2</c:v>
                </c:pt>
                <c:pt idx="3">
                  <c:v>7.7693181949369305E-2</c:v>
                </c:pt>
                <c:pt idx="4">
                  <c:v>0.10341608820577447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1-405F-99CD-B3103B42F0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97206072"/>
        <c:axId val="587644168"/>
      </c:lineChart>
      <c:catAx>
        <c:axId val="49720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644168"/>
        <c:crosses val="autoZero"/>
        <c:auto val="1"/>
        <c:lblAlgn val="ctr"/>
        <c:lblOffset val="100"/>
        <c:noMultiLvlLbl val="0"/>
      </c:catAx>
      <c:valAx>
        <c:axId val="5876441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97206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'Profitability Ratios'!$C$10</c:f>
              <c:strCache>
                <c:ptCount val="1"/>
                <c:pt idx="0">
                  <c:v>Earning Spread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'Profitability Ratios'!$E$2:$I$2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'Profitability Ratios'!$E$10:$I$10</c:f>
              <c:numCache>
                <c:formatCode>0.00%</c:formatCode>
                <c:ptCount val="5"/>
                <c:pt idx="0">
                  <c:v>4.5146994157875403E-2</c:v>
                </c:pt>
                <c:pt idx="1">
                  <c:v>5.5620082758119263E-2</c:v>
                </c:pt>
                <c:pt idx="2">
                  <c:v>6.2643853945129863E-2</c:v>
                </c:pt>
                <c:pt idx="3">
                  <c:v>3.4260092276836275E-2</c:v>
                </c:pt>
                <c:pt idx="4">
                  <c:v>2.6674580597265775E-2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9-43C7-9ADF-5938ED66DE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862079"/>
        <c:axId val="1930859999"/>
      </c:lineChart>
      <c:catAx>
        <c:axId val="193086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59999"/>
        <c:crosses val="autoZero"/>
        <c:auto val="1"/>
        <c:lblAlgn val="ctr"/>
        <c:lblOffset val="100"/>
        <c:noMultiLvlLbl val="0"/>
      </c:catAx>
      <c:valAx>
        <c:axId val="19308599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308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Gross Loan by Sectors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03-4B24-9090-D8E4CA55CE3E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03-4B24-9090-D8E4CA55CE3E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03-4B24-9090-D8E4CA55CE3E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03-4B24-9090-D8E4CA55CE3E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603-4B24-9090-D8E4CA55CE3E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603-4B24-9090-D8E4CA55CE3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03-4B24-9090-D8E4CA55CE3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603-4B24-9090-D8E4CA55CE3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603-4B24-9090-D8E4CA55CE3E}"/>
                </c:ext>
              </c:extLst>
            </c:dLbl>
            <c:dLbl>
              <c:idx val="3"/>
              <c:layout>
                <c:manualLayout>
                  <c:x val="-2.2064187675421742E-2"/>
                  <c:y val="-9.6298479241191596E-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42806277221909"/>
                      <c:h val="7.5703123344869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603-4B24-9090-D8E4CA55CE3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603-4B24-9090-D8E4CA55CE3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603-4B24-9090-D8E4CA55C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Sheet2!$A$2:$A$7</c:f>
              <c:strCache>
                <c:ptCount val="6"/>
                <c:pt idx="0">
                  <c:v>Textile</c:v>
                </c:pt>
                <c:pt idx="1">
                  <c:v>Chemical and Pharmaceutical</c:v>
                </c:pt>
                <c:pt idx="2">
                  <c:v>Sugar</c:v>
                </c:pt>
                <c:pt idx="3">
                  <c:v>Food and allied</c:v>
                </c:pt>
                <c:pt idx="4">
                  <c:v>Power and energy </c:v>
                </c:pt>
                <c:pt idx="5">
                  <c:v>Services </c:v>
                </c:pt>
              </c:strCache>
            </c:strRef>
          </c:cat>
          <c:val>
            <c:numRef>
              <c:f>Sheet2!$C$2:$C$7</c:f>
              <c:numCache>
                <c:formatCode>0.00%</c:formatCode>
                <c:ptCount val="6"/>
                <c:pt idx="0">
                  <c:v>0.12731153474462159</c:v>
                </c:pt>
                <c:pt idx="1">
                  <c:v>3.0565787910774918E-2</c:v>
                </c:pt>
                <c:pt idx="2">
                  <c:v>2.9516532817025525E-2</c:v>
                </c:pt>
                <c:pt idx="3">
                  <c:v>0.1077307296303769</c:v>
                </c:pt>
                <c:pt idx="4">
                  <c:v>0.11851595324344483</c:v>
                </c:pt>
                <c:pt idx="5">
                  <c:v>7.3041686185776264E-2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03-4B24-9090-D8E4CA55CE3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ROE by Banks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6-45B8-B152-9234539888CB}"/>
              </c:ext>
            </c:extLst>
          </c:dPt>
          <c:val>
            <c:numRef>
              <c:f>'[1]Ind avg'!$J$24:$J$27</c:f>
              <c:numCache>
                <c:formatCode>0%</c:formatCode>
                <c:ptCount val="4"/>
                <c:pt idx="0">
                  <c:v>0.15</c:v>
                </c:pt>
                <c:pt idx="1">
                  <c:v>0.24</c:v>
                </c:pt>
                <c:pt idx="2">
                  <c:v>0.14000000000000001</c:v>
                </c:pt>
                <c:pt idx="3">
                  <c:v>0.22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'[1]Ind avg'!$I$23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'[1]Ind avg'!$H$24:$I$27</c15:sqref>
                        </c15:formulaRef>
                      </c:ext>
                    </c:extLst>
                    <c:strCache>
                      <c:ptCount val="4"/>
                      <c:pt idx="0">
                        <c:v>BOP</c:v>
                      </c:pt>
                      <c:pt idx="1">
                        <c:v>METRO</c:v>
                      </c:pt>
                      <c:pt idx="2">
                        <c:v>JS BANK</c:v>
                      </c:pt>
                      <c:pt idx="3">
                        <c:v>ASKARI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136-45B8-B152-92345398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692736"/>
        <c:axId val="1053710208"/>
      </c:barChart>
      <c:catAx>
        <c:axId val="10536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0208"/>
        <c:crosses val="autoZero"/>
        <c:auto val="1"/>
        <c:lblAlgn val="ctr"/>
        <c:lblOffset val="100"/>
        <c:noMultiLvlLbl val="0"/>
      </c:catAx>
      <c:valAx>
        <c:axId val="10537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Deposits by Banks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BD-4FA9-A8D9-F0F4908FF343}"/>
              </c:ext>
            </c:extLst>
          </c:dPt>
          <c:val>
            <c:numRef>
              <c:f>'[1]Ind avg'!$O$24:$O$27</c:f>
              <c:numCache>
                <c:formatCode>0</c:formatCode>
                <c:ptCount val="4"/>
                <c:pt idx="0">
                  <c:v>835</c:v>
                </c:pt>
                <c:pt idx="1">
                  <c:v>681</c:v>
                </c:pt>
                <c:pt idx="2">
                  <c:v>433</c:v>
                </c:pt>
                <c:pt idx="3">
                  <c:v>803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'[1]Ind avg'!$N$23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'[1]Ind avg'!$M$24:$N$27</c15:sqref>
                        </c15:formulaRef>
                      </c:ext>
                    </c:extLst>
                    <c:strCache>
                      <c:ptCount val="4"/>
                      <c:pt idx="0">
                        <c:v>BOP</c:v>
                      </c:pt>
                      <c:pt idx="1">
                        <c:v>METRO</c:v>
                      </c:pt>
                      <c:pt idx="2">
                        <c:v>JS BANK</c:v>
                      </c:pt>
                      <c:pt idx="3">
                        <c:v>ASKARI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9BD-4FA9-A8D9-F0F4908F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897216"/>
        <c:axId val="1042900960"/>
      </c:barChart>
      <c:catAx>
        <c:axId val="10428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00960"/>
        <c:crosses val="autoZero"/>
        <c:auto val="1"/>
        <c:lblAlgn val="ctr"/>
        <c:lblOffset val="100"/>
        <c:noMultiLvlLbl val="0"/>
      </c:catAx>
      <c:valAx>
        <c:axId val="10429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Earning Per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'Profitability Ratios'!$E$9:$I$9</c:f>
              <c:numCache>
                <c:formatCode>0.00</c:formatCode>
                <c:ptCount val="5"/>
                <c:pt idx="0">
                  <c:v>7.71</c:v>
                </c:pt>
                <c:pt idx="1">
                  <c:v>8.61</c:v>
                </c:pt>
                <c:pt idx="2">
                  <c:v>5.58</c:v>
                </c:pt>
                <c:pt idx="3">
                  <c:v>3.51</c:v>
                </c:pt>
                <c:pt idx="4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9-4388-AF8C-3F29ED706C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49249960"/>
        <c:axId val="649250616"/>
      </c:barChart>
      <c:catAx>
        <c:axId val="6492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50616"/>
        <c:crosses val="autoZero"/>
        <c:auto val="1"/>
        <c:lblAlgn val="ctr"/>
        <c:lblOffset val="100"/>
        <c:noMultiLvlLbl val="0"/>
      </c:catAx>
      <c:valAx>
        <c:axId val="64925061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64924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Nonperforming Loans/Total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Nonperforming Loans/ Total Loans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'Risk Ratios'!$C$3:$G$3</c:f>
              <c:numCache>
                <c:formatCode>0.00%</c:formatCode>
                <c:ptCount val="5"/>
                <c:pt idx="0">
                  <c:v>6.5244059355732256E-2</c:v>
                </c:pt>
                <c:pt idx="1">
                  <c:v>7.2673829594501416E-2</c:v>
                </c:pt>
                <c:pt idx="2">
                  <c:v>7.5438513527685089E-2</c:v>
                </c:pt>
                <c:pt idx="3">
                  <c:v>7.7693181949369305E-2</c:v>
                </c:pt>
                <c:pt idx="4">
                  <c:v>0.10341608820577447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8-4ABE-8008-3C75230AF7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44965960"/>
        <c:axId val="744969240"/>
      </c:barChart>
      <c:catAx>
        <c:axId val="744965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69240"/>
        <c:crosses val="autoZero"/>
        <c:auto val="1"/>
        <c:lblAlgn val="ctr"/>
        <c:lblOffset val="100"/>
        <c:noMultiLvlLbl val="0"/>
      </c:catAx>
      <c:valAx>
        <c:axId val="74496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6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'Profitability Ratios'!$E$16:$I$16</c:f>
              <c:numCache>
                <c:formatCode>0.00%</c:formatCode>
                <c:ptCount val="5"/>
                <c:pt idx="0">
                  <c:v>0.17336872560295868</c:v>
                </c:pt>
                <c:pt idx="1">
                  <c:v>0.19855054586784968</c:v>
                </c:pt>
                <c:pt idx="2">
                  <c:v>0.16550801169835999</c:v>
                </c:pt>
                <c:pt idx="3">
                  <c:v>0.13188185686457357</c:v>
                </c:pt>
                <c:pt idx="4">
                  <c:v>0.15737129698491045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F-433F-BFFA-FD2A1E3441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4261632"/>
        <c:axId val="792768536"/>
      </c:barChart>
      <c:catAx>
        <c:axId val="67426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68536"/>
        <c:crosses val="autoZero"/>
        <c:auto val="1"/>
        <c:lblAlgn val="ctr"/>
        <c:lblOffset val="100"/>
        <c:noMultiLvlLbl val="0"/>
      </c:catAx>
      <c:valAx>
        <c:axId val="792768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Net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'Profitability Ratios'!$E$19:$I$19</c:f>
              <c:numCache>
                <c:formatCode>0.00%</c:formatCode>
                <c:ptCount val="5"/>
                <c:pt idx="0">
                  <c:v>0.11152505742246227</c:v>
                </c:pt>
                <c:pt idx="1">
                  <c:v>0.12204157845431043</c:v>
                </c:pt>
                <c:pt idx="2">
                  <c:v>8.8712461777605639E-2</c:v>
                </c:pt>
                <c:pt idx="3">
                  <c:v>8.9899478765862073E-2</c:v>
                </c:pt>
                <c:pt idx="4">
                  <c:v>0.12084200852203097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2-4C01-B294-1490828ED4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70351416"/>
        <c:axId val="670357976"/>
      </c:barChart>
      <c:catAx>
        <c:axId val="67035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7976"/>
        <c:crosses val="autoZero"/>
        <c:auto val="1"/>
        <c:lblAlgn val="ctr"/>
        <c:lblOffset val="100"/>
        <c:noMultiLvlLbl val="0"/>
      </c:catAx>
      <c:valAx>
        <c:axId val="6703579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7035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Gross</a:t>
            </a:r>
            <a:r>
              <a:rPr lang="en-US" sz="2400" b="1" baseline="0"/>
              <a:t> Loans by Sectors (2021-2017)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22042422063367E-2"/>
          <c:y val="7.2531107927823038E-2"/>
          <c:w val="0.90689313401333338"/>
          <c:h val="0.8000569899372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Textile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Sheet2!$C$1:$K$1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Sheet2!$C$2:$K$2</c:f>
              <c:numCache>
                <c:formatCode>0.00%</c:formatCode>
                <c:ptCount val="5"/>
                <c:pt idx="0">
                  <c:v>0.12731153474462159</c:v>
                </c:pt>
                <c:pt idx="1">
                  <c:v>0.1217302934671952</c:v>
                </c:pt>
                <c:pt idx="2">
                  <c:v>0.16173633111702881</c:v>
                </c:pt>
                <c:pt idx="3">
                  <c:v>0.1826892998043704</c:v>
                </c:pt>
                <c:pt idx="4">
                  <c:v>0.14668302878736547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5-407C-AA91-ED37E27FE02D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Chemical and Pharmaceutical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Sheet2!$C$3:$K$3</c:f>
              <c:numCache>
                <c:formatCode>0.00%</c:formatCode>
                <c:ptCount val="5"/>
                <c:pt idx="0">
                  <c:v>3.0565787910774918E-2</c:v>
                </c:pt>
                <c:pt idx="1">
                  <c:v>2.930554791999021E-2</c:v>
                </c:pt>
                <c:pt idx="2">
                  <c:v>4.5149771284802215E-2</c:v>
                </c:pt>
                <c:pt idx="3">
                  <c:v>7.7203226549182907E-2</c:v>
                </c:pt>
                <c:pt idx="4">
                  <c:v>3.2537791859996182E-2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5-407C-AA91-ED37E27FE02D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Sheet2!$C$4:$K$4</c:f>
              <c:numCache>
                <c:formatCode>0.00%</c:formatCode>
                <c:ptCount val="5"/>
                <c:pt idx="0">
                  <c:v>2.9516532817025525E-2</c:v>
                </c:pt>
                <c:pt idx="1">
                  <c:v>3.0354396043297059E-2</c:v>
                </c:pt>
                <c:pt idx="2">
                  <c:v>3.8243870900307043E-2</c:v>
                </c:pt>
                <c:pt idx="3">
                  <c:v>3.4874121245921402E-2</c:v>
                </c:pt>
                <c:pt idx="4">
                  <c:v>2.5256982256468118E-2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B5-407C-AA91-ED37E27FE02D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Food and allied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Sheet2!$C$5:$K$5</c:f>
              <c:numCache>
                <c:formatCode>0.00%</c:formatCode>
                <c:ptCount val="5"/>
                <c:pt idx="0">
                  <c:v>0.1077307296303769</c:v>
                </c:pt>
                <c:pt idx="1">
                  <c:v>7.3996434829092572E-2</c:v>
                </c:pt>
                <c:pt idx="2">
                  <c:v>1.8625725724778507E-2</c:v>
                </c:pt>
                <c:pt idx="3">
                  <c:v>1.7024723132802986E-2</c:v>
                </c:pt>
                <c:pt idx="4">
                  <c:v>9.4151442181810222E-3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B5-407C-AA91-ED37E27FE02D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Power and energy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Sheet2!$C$6:$K$6</c:f>
              <c:numCache>
                <c:formatCode>0.00%</c:formatCode>
                <c:ptCount val="5"/>
                <c:pt idx="0">
                  <c:v>0.11851595324344483</c:v>
                </c:pt>
                <c:pt idx="1">
                  <c:v>0.12424642896758614</c:v>
                </c:pt>
                <c:pt idx="2">
                  <c:v>2.6561777938072021E-2</c:v>
                </c:pt>
                <c:pt idx="3">
                  <c:v>9.9076579434862616E-3</c:v>
                </c:pt>
                <c:pt idx="4">
                  <c:v>7.7861091278610545E-2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B5-407C-AA91-ED37E27FE02D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Services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Sheet2!$C$7:$K$7</c:f>
              <c:numCache>
                <c:formatCode>0.00%</c:formatCode>
                <c:ptCount val="5"/>
                <c:pt idx="0">
                  <c:v>7.3041686185776264E-2</c:v>
                </c:pt>
                <c:pt idx="1">
                  <c:v>8.057834352002699E-2</c:v>
                </c:pt>
                <c:pt idx="2">
                  <c:v>6.6608771528924249E-2</c:v>
                </c:pt>
                <c:pt idx="3">
                  <c:v>3.4258554965709204E-2</c:v>
                </c:pt>
                <c:pt idx="4">
                  <c:v>3.9735415744134472E-2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5-407C-AA91-ED37E27FE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489535"/>
        <c:axId val="1793495775"/>
      </c:barChart>
      <c:catAx>
        <c:axId val="179348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95775"/>
        <c:crosses val="autoZero"/>
        <c:auto val="1"/>
        <c:lblAlgn val="ctr"/>
        <c:lblOffset val="100"/>
        <c:noMultiLvlLbl val="0"/>
      </c:catAx>
      <c:valAx>
        <c:axId val="1793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347438906811275"/>
          <c:y val="0.87704020679923245"/>
          <c:w val="0.65498599818045311"/>
          <c:h val="0.12214990488791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Performing Loans by Sectors (2021-2017)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Sheet2!$V$2</c:f>
              <c:strCache>
                <c:ptCount val="1"/>
                <c:pt idx="0">
                  <c:v>Textile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Sheet2!$W$2:$AF$2</c:f>
              <c:numCache>
                <c:formatCode>0.00%</c:formatCode>
                <c:ptCount val="9"/>
                <c:pt idx="0" formatCode="General">
                  <c:v>9573196</c:v>
                </c:pt>
                <c:pt idx="1">
                  <c:v>0.33695610931191333</c:v>
                </c:pt>
                <c:pt idx="2" formatCode="General">
                  <c:v>10377789</c:v>
                </c:pt>
                <c:pt idx="3">
                  <c:v>0.36527606921449968</c:v>
                </c:pt>
                <c:pt idx="4">
                  <c:v>0.40085593314531154</c:v>
                </c:pt>
                <c:pt idx="5" formatCode="General">
                  <c:v>12335315</c:v>
                </c:pt>
                <c:pt idx="6">
                  <c:v>0.46274056361599314</c:v>
                </c:pt>
                <c:pt idx="7" formatCode="General">
                  <c:v>12000289</c:v>
                </c:pt>
                <c:pt idx="8">
                  <c:v>0.44855817623927191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F-4730-B92E-95D7CF05BCC7}"/>
            </c:ext>
          </c:extLst>
        </c:ser>
        <c:ser>
          <c:idx val="1"/>
          <c:order val="1"/>
          <c:tx>
            <c:strRef>
              <c:f>Sheet2!$V$3</c:f>
              <c:strCache>
                <c:ptCount val="1"/>
                <c:pt idx="0">
                  <c:v>Electronics and electrical appliances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Sheet2!$W$3:$AF$3</c:f>
              <c:numCache>
                <c:formatCode>0.00%</c:formatCode>
                <c:ptCount val="9"/>
                <c:pt idx="0" formatCode="General">
                  <c:v>1104739</c:v>
                </c:pt>
                <c:pt idx="1">
                  <c:v>3.8884459823567155E-2</c:v>
                </c:pt>
                <c:pt idx="2" formatCode="General">
                  <c:v>1114668</c:v>
                </c:pt>
                <c:pt idx="3">
                  <c:v>3.9233939475854435E-2</c:v>
                </c:pt>
                <c:pt idx="4">
                  <c:v>3.9789225645450073E-2</c:v>
                </c:pt>
                <c:pt idx="5" formatCode="General">
                  <c:v>1119429</c:v>
                </c:pt>
                <c:pt idx="6">
                  <c:v>4.1993674777505687E-2</c:v>
                </c:pt>
                <c:pt idx="7" formatCode="General">
                  <c:v>1116900</c:v>
                </c:pt>
                <c:pt idx="8">
                  <c:v>4.1748546809301242E-2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F-4730-B92E-95D7CF05BCC7}"/>
            </c:ext>
          </c:extLst>
        </c:ser>
        <c:ser>
          <c:idx val="2"/>
          <c:order val="2"/>
          <c:tx>
            <c:strRef>
              <c:f>Sheet2!$V$4</c:f>
              <c:strCache>
                <c:ptCount val="1"/>
                <c:pt idx="0">
                  <c:v>Power (electricity), Gas, Water, Sanitary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Sheet2!$W$4:$AF$4</c:f>
              <c:numCache>
                <c:formatCode>0.00%</c:formatCode>
                <c:ptCount val="9"/>
                <c:pt idx="0" formatCode="General">
                  <c:v>5478395</c:v>
                </c:pt>
                <c:pt idx="1">
                  <c:v>0.19282783560201205</c:v>
                </c:pt>
                <c:pt idx="2" formatCode="General">
                  <c:v>3295100</c:v>
                </c:pt>
                <c:pt idx="3">
                  <c:v>0.11598050178787581</c:v>
                </c:pt>
                <c:pt idx="4">
                  <c:v>0.12692405725988293</c:v>
                </c:pt>
                <c:pt idx="5" formatCode="General">
                  <c:v>1671611</c:v>
                </c:pt>
                <c:pt idx="6">
                  <c:v>6.2707941895824626E-2</c:v>
                </c:pt>
                <c:pt idx="7" formatCode="General">
                  <c:v>1675648</c:v>
                </c:pt>
                <c:pt idx="8">
                  <c:v>6.2633959140399334E-2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F-4730-B92E-95D7CF05BCC7}"/>
            </c:ext>
          </c:extLst>
        </c:ser>
        <c:ser>
          <c:idx val="3"/>
          <c:order val="3"/>
          <c:tx>
            <c:strRef>
              <c:f>Sheet2!$V$5</c:f>
              <c:strCache>
                <c:ptCount val="1"/>
                <c:pt idx="0">
                  <c:v>Individuals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Sheet2!$W$5:$AF$5</c:f>
              <c:numCache>
                <c:formatCode>0.00%</c:formatCode>
                <c:ptCount val="9"/>
                <c:pt idx="0" formatCode="General">
                  <c:v>2569558</c:v>
                </c:pt>
                <c:pt idx="1">
                  <c:v>9.0442968715077107E-2</c:v>
                </c:pt>
                <c:pt idx="2" formatCode="General">
                  <c:v>2662811</c:v>
                </c:pt>
                <c:pt idx="3">
                  <c:v>9.3725275696117077E-2</c:v>
                </c:pt>
                <c:pt idx="4">
                  <c:v>7.7006720664728009E-2</c:v>
                </c:pt>
                <c:pt idx="5" formatCode="General">
                  <c:v>2111521</c:v>
                </c:pt>
                <c:pt idx="6">
                  <c:v>7.9210495850896831E-2</c:v>
                </c:pt>
                <c:pt idx="7" formatCode="General">
                  <c:v>2004025</c:v>
                </c:pt>
                <c:pt idx="8">
                  <c:v>7.4908345885495498E-2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F-4730-B92E-95D7CF05BCC7}"/>
            </c:ext>
          </c:extLst>
        </c:ser>
        <c:ser>
          <c:idx val="4"/>
          <c:order val="4"/>
          <c:tx>
            <c:strRef>
              <c:f>Sheet2!$V$6</c:f>
              <c:strCache>
                <c:ptCount val="1"/>
                <c:pt idx="0">
                  <c:v>Edible oil and ghee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Sheet2!$W$6:$AF$6</c:f>
              <c:numCache>
                <c:formatCode>0.00%</c:formatCode>
                <c:ptCount val="9"/>
                <c:pt idx="0" formatCode="General">
                  <c:v>1668682</c:v>
                </c:pt>
                <c:pt idx="1">
                  <c:v>5.8734052285028128E-2</c:v>
                </c:pt>
                <c:pt idx="2" formatCode="General">
                  <c:v>1681161</c:v>
                </c:pt>
                <c:pt idx="3">
                  <c:v>5.9173286506086942E-2</c:v>
                </c:pt>
                <c:pt idx="4">
                  <c:v>1.8232440899833096E-2</c:v>
                </c:pt>
                <c:pt idx="5" formatCode="General">
                  <c:v>549956</c:v>
                </c:pt>
                <c:pt idx="6">
                  <c:v>2.0630762117059605E-2</c:v>
                </c:pt>
                <c:pt idx="7" formatCode="General">
                  <c:v>460614</c:v>
                </c:pt>
                <c:pt idx="8">
                  <c:v>1.7217266666684109E-2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BF-4730-B92E-95D7CF05BCC7}"/>
            </c:ext>
          </c:extLst>
        </c:ser>
        <c:ser>
          <c:idx val="5"/>
          <c:order val="5"/>
          <c:tx>
            <c:strRef>
              <c:f>Sheet2!$V$7</c:f>
              <c:strCache>
                <c:ptCount val="1"/>
                <c:pt idx="0">
                  <c:v>Others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Sheet2!$W$7:$AF$7</c:f>
              <c:numCache>
                <c:formatCode>0.00%</c:formatCode>
                <c:ptCount val="9"/>
                <c:pt idx="0" formatCode="General">
                  <c:v>2547719</c:v>
                </c:pt>
                <c:pt idx="1">
                  <c:v>8.9674282429821603E-2</c:v>
                </c:pt>
                <c:pt idx="2" formatCode="General">
                  <c:v>2311783</c:v>
                </c:pt>
                <c:pt idx="3">
                  <c:v>8.1369837748378165E-2</c:v>
                </c:pt>
                <c:pt idx="4">
                  <c:v>7.3800170349207342E-2</c:v>
                </c:pt>
                <c:pt idx="5" formatCode="General">
                  <c:v>2164010</c:v>
                </c:pt>
                <c:pt idx="6">
                  <c:v>8.1179540779513559E-2</c:v>
                </c:pt>
                <c:pt idx="7" formatCode="General">
                  <c:v>2382125</c:v>
                </c:pt>
                <c:pt idx="8">
                  <c:v>8.9041326052562209E-2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BF-4730-B92E-95D7CF05BC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6501856"/>
        <c:axId val="696510712"/>
      </c:barChart>
      <c:catAx>
        <c:axId val="6965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10712"/>
        <c:crosses val="autoZero"/>
        <c:auto val="1"/>
        <c:lblAlgn val="ctr"/>
        <c:lblOffset val="100"/>
        <c:noMultiLvlLbl val="0"/>
      </c:catAx>
      <c:valAx>
        <c:axId val="69651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Performing Loans by Sector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78-4BC1-B69C-5C83C24118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78-4BC1-B69C-5C83C24118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78-4BC1-B69C-5C83C24118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78-4BC1-B69C-5C83C24118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78-4BC1-B69C-5C83C24118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478-4BC1-B69C-5C83C24118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Sheet2!$V$2:$V$7</c:f>
              <c:strCache>
                <c:ptCount val="6"/>
                <c:pt idx="0">
                  <c:v>Textile</c:v>
                </c:pt>
                <c:pt idx="1">
                  <c:v>Electronics and electrical appliances</c:v>
                </c:pt>
                <c:pt idx="2">
                  <c:v>Power (electricity), Gas, Water, Sanitary</c:v>
                </c:pt>
                <c:pt idx="3">
                  <c:v>Individuals</c:v>
                </c:pt>
                <c:pt idx="4">
                  <c:v>Edible oil and ghee</c:v>
                </c:pt>
                <c:pt idx="5">
                  <c:v>Others</c:v>
                </c:pt>
              </c:strCache>
            </c:strRef>
          </c:cat>
          <c:val>
            <c:numRef>
              <c:f>Sheet2!$W$2:$W$7</c:f>
              <c:numCache>
                <c:formatCode>General</c:formatCode>
                <c:ptCount val="6"/>
                <c:pt idx="0">
                  <c:v>9573196</c:v>
                </c:pt>
                <c:pt idx="1">
                  <c:v>1104739</c:v>
                </c:pt>
                <c:pt idx="2">
                  <c:v>5478395</c:v>
                </c:pt>
                <c:pt idx="3">
                  <c:v>2569558</c:v>
                </c:pt>
                <c:pt idx="4">
                  <c:v>1668682</c:v>
                </c:pt>
                <c:pt idx="5">
                  <c:v>2547719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78-4BC1-B69C-5C83C24118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Loan by Sectors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2B-4F49-95A3-5EF45E2E9272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2B-4F49-95A3-5EF45E2E9272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2B-4F49-95A3-5EF45E2E9272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2B-4F49-95A3-5EF45E2E9272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2B-4F49-95A3-5EF45E2E9272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F2B-4F49-95A3-5EF45E2E927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2B-4F49-95A3-5EF45E2E927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2B-4F49-95A3-5EF45E2E927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F2B-4F49-95A3-5EF45E2E927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F2B-4F49-95A3-5EF45E2E927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F2B-4F49-95A3-5EF45E2E927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F2B-4F49-95A3-5EF45E2E9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Sheet2!$A$2:$A$7</c:f>
              <c:strCache>
                <c:ptCount val="6"/>
                <c:pt idx="0">
                  <c:v>Textile</c:v>
                </c:pt>
                <c:pt idx="1">
                  <c:v>Chemical and Pharmaceutical</c:v>
                </c:pt>
                <c:pt idx="2">
                  <c:v>Sugar</c:v>
                </c:pt>
                <c:pt idx="3">
                  <c:v>Food and allied</c:v>
                </c:pt>
                <c:pt idx="4">
                  <c:v>Power and energy </c:v>
                </c:pt>
                <c:pt idx="5">
                  <c:v>Services </c:v>
                </c:pt>
              </c:strCache>
            </c:strRef>
          </c:cat>
          <c:val>
            <c:numRef>
              <c:f>Sheet2!$C$2:$C$7</c:f>
              <c:numCache>
                <c:formatCode>0.00%</c:formatCode>
                <c:ptCount val="6"/>
                <c:pt idx="0">
                  <c:v>0.12731153474462159</c:v>
                </c:pt>
                <c:pt idx="1">
                  <c:v>3.0565787910774918E-2</c:v>
                </c:pt>
                <c:pt idx="2">
                  <c:v>2.9516532817025525E-2</c:v>
                </c:pt>
                <c:pt idx="3">
                  <c:v>0.1077307296303769</c:v>
                </c:pt>
                <c:pt idx="4">
                  <c:v>0.11851595324344483</c:v>
                </c:pt>
                <c:pt idx="5">
                  <c:v>7.3041686185776264E-2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2B-4F49-95A3-5EF45E2E927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Loans by public/private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Public Advances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Sheet2!$O$2:$S$2</c:f>
              <c:numCache>
                <c:formatCode>#,##0</c:formatCode>
                <c:ptCount val="5"/>
                <c:pt idx="0">
                  <c:v>156455831</c:v>
                </c:pt>
                <c:pt idx="1">
                  <c:v>129318506</c:v>
                </c:pt>
                <c:pt idx="2">
                  <c:v>135487857</c:v>
                </c:pt>
                <c:pt idx="3">
                  <c:v>116597785</c:v>
                </c:pt>
                <c:pt idx="4">
                  <c:v>86590715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2-490F-9AC5-1F2C374B8B6D}"/>
            </c:ext>
          </c:extLst>
        </c:ser>
        <c:ser>
          <c:idx val="1"/>
          <c:order val="1"/>
          <c:tx>
            <c:strRef>
              <c:f>Sheet2!$N$3</c:f>
              <c:strCache>
                <c:ptCount val="1"/>
                <c:pt idx="0">
                  <c:v>Private Advances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Sheet2!$O$3:$S$3</c:f>
              <c:numCache>
                <c:formatCode>#,##0</c:formatCode>
                <c:ptCount val="5"/>
                <c:pt idx="0">
                  <c:v>351360622</c:v>
                </c:pt>
                <c:pt idx="1">
                  <c:v>292501384</c:v>
                </c:pt>
                <c:pt idx="2">
                  <c:v>263060954</c:v>
                </c:pt>
                <c:pt idx="3">
                  <c:v>252661186</c:v>
                </c:pt>
                <c:pt idx="4">
                  <c:v>197748955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82-490F-9AC5-1F2C374B8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0359944"/>
        <c:axId val="670357648"/>
      </c:barChart>
      <c:catAx>
        <c:axId val="67035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7648"/>
        <c:crosses val="autoZero"/>
        <c:auto val="1"/>
        <c:lblAlgn val="ctr"/>
        <c:lblOffset val="100"/>
        <c:noMultiLvlLbl val="0"/>
      </c:catAx>
      <c:valAx>
        <c:axId val="6703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Performing Loans to Gross Loans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Industry!$H$6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Industry!$I$6:$L$6</c:f>
              <c:numCache>
                <c:formatCode>0.00%</c:formatCode>
                <c:ptCount val="4"/>
                <c:pt idx="0">
                  <c:v>9.1999999999999998E-2</c:v>
                </c:pt>
                <c:pt idx="1">
                  <c:v>8.5999999999999993E-2</c:v>
                </c:pt>
                <c:pt idx="2">
                  <c:v>0.08</c:v>
                </c:pt>
                <c:pt idx="3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7-486F-ABE8-87B27DBC469F}"/>
            </c:ext>
          </c:extLst>
        </c:ser>
        <c:ser>
          <c:idx val="1"/>
          <c:order val="1"/>
          <c:tx>
            <c:strRef>
              <c:f>Industry!$H$7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Industry!$I$7:$L$7</c:f>
              <c:numCache>
                <c:formatCode>0.00%</c:formatCode>
                <c:ptCount val="4"/>
                <c:pt idx="0">
                  <c:v>7.0421052836031325E-2</c:v>
                </c:pt>
                <c:pt idx="1">
                  <c:v>9.2957579679380439E-2</c:v>
                </c:pt>
                <c:pt idx="2">
                  <c:v>8.673473681839268E-2</c:v>
                </c:pt>
                <c:pt idx="3">
                  <c:v>0.11414060578020781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7-486F-ABE8-87B27DBC469F}"/>
            </c:ext>
          </c:extLst>
        </c:ser>
        <c:ser>
          <c:idx val="2"/>
          <c:order val="2"/>
          <c:tx>
            <c:strRef>
              <c:f>Industry!$H$8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Industry!$I$8:$L$8</c:f>
              <c:numCache>
                <c:formatCode>0.00%</c:formatCode>
                <c:ptCount val="4"/>
                <c:pt idx="0">
                  <c:v>7.2673829594501416E-2</c:v>
                </c:pt>
                <c:pt idx="1">
                  <c:v>7.5438513527685089E-2</c:v>
                </c:pt>
                <c:pt idx="2">
                  <c:v>7.7693181949369305E-2</c:v>
                </c:pt>
                <c:pt idx="3">
                  <c:v>0.10341608820577447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7-486F-ABE8-87B27DBC469F}"/>
            </c:ext>
          </c:extLst>
        </c:ser>
        <c:ser>
          <c:idx val="3"/>
          <c:order val="3"/>
          <c:tx>
            <c:strRef>
              <c:f>Industry!$H$9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Industry!$I$9:$L$9</c:f>
              <c:numCache>
                <c:formatCode>0.00%</c:formatCode>
                <c:ptCount val="4"/>
                <c:pt idx="0">
                  <c:v>2.0928088235035013E-2</c:v>
                </c:pt>
                <c:pt idx="1">
                  <c:v>6.2490326976696884E-3</c:v>
                </c:pt>
                <c:pt idx="2">
                  <c:v>3.3092989879509693E-3</c:v>
                </c:pt>
                <c:pt idx="3">
                  <c:v>4.5999872473845805E-3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7-486F-ABE8-87B27DBC46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0415944"/>
        <c:axId val="610416600"/>
      </c:barChart>
      <c:catAx>
        <c:axId val="610415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16600"/>
        <c:crosses val="autoZero"/>
        <c:auto val="1"/>
        <c:lblAlgn val="ctr"/>
        <c:lblOffset val="100"/>
        <c:noMultiLvlLbl val="0"/>
      </c:catAx>
      <c:valAx>
        <c:axId val="61041660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041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8922134733158353E-2"/>
          <c:y val="0.20398148148148151"/>
          <c:w val="0.8221557305336831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 on 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Industry!$H$11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Industry!$I$11:$L$11</c:f>
              <c:numCache>
                <c:formatCode>0.00%</c:formatCode>
                <c:ptCount val="4"/>
                <c:pt idx="0">
                  <c:v>0.01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4-48B5-BF0B-6A9B0036F9A5}"/>
            </c:ext>
          </c:extLst>
        </c:ser>
        <c:ser>
          <c:idx val="1"/>
          <c:order val="1"/>
          <c:tx>
            <c:strRef>
              <c:f>Industry!$H$12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Industry!$I$12:$L$12</c:f>
              <c:numCache>
                <c:formatCode>0.00%</c:formatCode>
                <c:ptCount val="4"/>
                <c:pt idx="0">
                  <c:v>9.4084745874852601E-3</c:v>
                </c:pt>
                <c:pt idx="1">
                  <c:v>9.5323340413202232E-3</c:v>
                </c:pt>
                <c:pt idx="2">
                  <c:v>8.1435667468376435E-3</c:v>
                </c:pt>
                <c:pt idx="3">
                  <c:v>9.1222598523904349E-3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4-48B5-BF0B-6A9B0036F9A5}"/>
            </c:ext>
          </c:extLst>
        </c:ser>
        <c:ser>
          <c:idx val="2"/>
          <c:order val="2"/>
          <c:tx>
            <c:strRef>
              <c:f>Industry!$H$13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Industry!$I$13:$L$13</c:f>
              <c:numCache>
                <c:formatCode>0.00%</c:formatCode>
                <c:ptCount val="4"/>
                <c:pt idx="0">
                  <c:v>1.0934779795576284E-2</c:v>
                </c:pt>
                <c:pt idx="1">
                  <c:v>8.420372806118636E-3</c:v>
                </c:pt>
                <c:pt idx="2">
                  <c:v>6.2706816298168455E-3</c:v>
                </c:pt>
                <c:pt idx="3">
                  <c:v>7.7257317865974872E-3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14-48B5-BF0B-6A9B0036F9A5}"/>
            </c:ext>
          </c:extLst>
        </c:ser>
        <c:ser>
          <c:idx val="3"/>
          <c:order val="3"/>
          <c:tx>
            <c:strRef>
              <c:f>Industry!$H$14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Industry!$I$14:$L$14</c:f>
              <c:numCache>
                <c:formatCode>0.00%</c:formatCode>
                <c:ptCount val="4"/>
                <c:pt idx="0">
                  <c:v>1.8192125887744371E-2</c:v>
                </c:pt>
                <c:pt idx="1">
                  <c:v>2.5835817678350012E-2</c:v>
                </c:pt>
                <c:pt idx="2">
                  <c:v>1.9510022799974897E-2</c:v>
                </c:pt>
                <c:pt idx="3">
                  <c:v>1.6055271045212583E-2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14-48B5-BF0B-6A9B0036F9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19555992"/>
        <c:axId val="319558288"/>
      </c:barChart>
      <c:catAx>
        <c:axId val="31955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58288"/>
        <c:crosses val="autoZero"/>
        <c:auto val="1"/>
        <c:lblAlgn val="ctr"/>
        <c:lblOffset val="100"/>
        <c:noMultiLvlLbl val="0"/>
      </c:catAx>
      <c:valAx>
        <c:axId val="31955828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31955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Retrun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Industry!$H$16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Industry!$I$16:$L$16</c:f>
              <c:numCache>
                <c:formatCode>0.00%</c:formatCode>
                <c:ptCount val="4"/>
                <c:pt idx="0">
                  <c:v>0.13800000000000001</c:v>
                </c:pt>
                <c:pt idx="1">
                  <c:v>0.113</c:v>
                </c:pt>
                <c:pt idx="2">
                  <c:v>0.107</c:v>
                </c:pt>
                <c:pt idx="3">
                  <c:v>0.115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EF2-9BC5-F5D5B8444432}"/>
            </c:ext>
          </c:extLst>
        </c:ser>
        <c:ser>
          <c:idx val="1"/>
          <c:order val="1"/>
          <c:tx>
            <c:strRef>
              <c:f>Industry!$H$17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Industry!$I$17:$L$17</c:f>
              <c:numCache>
                <c:formatCode>0.00%</c:formatCode>
                <c:ptCount val="4"/>
                <c:pt idx="0">
                  <c:v>0.11094043887511737</c:v>
                </c:pt>
                <c:pt idx="1">
                  <c:v>0.10875818778360442</c:v>
                </c:pt>
                <c:pt idx="2">
                  <c:v>0.11223860180984883</c:v>
                </c:pt>
                <c:pt idx="3">
                  <c:v>0.11507836048053903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EF2-9BC5-F5D5B8444432}"/>
            </c:ext>
          </c:extLst>
        </c:ser>
        <c:ser>
          <c:idx val="2"/>
          <c:order val="2"/>
          <c:tx>
            <c:strRef>
              <c:f>Industry!$H$18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Industry!$I$18:$L$18</c:f>
              <c:numCache>
                <c:formatCode>0.00%</c:formatCode>
                <c:ptCount val="4"/>
                <c:pt idx="0">
                  <c:v>0.19855054586784965</c:v>
                </c:pt>
                <c:pt idx="1">
                  <c:v>0.16550801169835996</c:v>
                </c:pt>
                <c:pt idx="2">
                  <c:v>0.13188185686457357</c:v>
                </c:pt>
                <c:pt idx="3">
                  <c:v>0.15737129698491048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4-4EF2-9BC5-F5D5B8444432}"/>
            </c:ext>
          </c:extLst>
        </c:ser>
        <c:ser>
          <c:idx val="3"/>
          <c:order val="3"/>
          <c:tx>
            <c:strRef>
              <c:f>Industry!$H$19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Industry!$I$19:$L$19</c:f>
              <c:numCache>
                <c:formatCode>0.00%</c:formatCode>
                <c:ptCount val="4"/>
                <c:pt idx="0">
                  <c:v>0.16079008484679008</c:v>
                </c:pt>
                <c:pt idx="1">
                  <c:v>0.21966833763270299</c:v>
                </c:pt>
                <c:pt idx="2">
                  <c:v>0.16715693981214802</c:v>
                </c:pt>
                <c:pt idx="3">
                  <c:v>0.1310072266901332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E4-4EF2-9BC5-F5D5B844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1172744"/>
        <c:axId val="611173072"/>
        <c:axId val="0"/>
      </c:bar3DChart>
      <c:catAx>
        <c:axId val="61117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3072"/>
        <c:crosses val="autoZero"/>
        <c:auto val="1"/>
        <c:lblAlgn val="ctr"/>
        <c:lblOffset val="100"/>
        <c:noMultiLvlLbl val="0"/>
      </c:catAx>
      <c:valAx>
        <c:axId val="6111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7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Capital Adequacy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Industry!$H$21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Industry!$I$21:$L$21</c:f>
              <c:numCache>
                <c:formatCode>0.00%</c:formatCode>
                <c:ptCount val="4"/>
                <c:pt idx="0">
                  <c:v>0.186</c:v>
                </c:pt>
                <c:pt idx="1">
                  <c:v>0.17</c:v>
                </c:pt>
                <c:pt idx="2">
                  <c:v>0.16200000000000001</c:v>
                </c:pt>
                <c:pt idx="3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4-47EA-989E-FB24F01CA4D1}"/>
            </c:ext>
          </c:extLst>
        </c:ser>
        <c:ser>
          <c:idx val="1"/>
          <c:order val="1"/>
          <c:tx>
            <c:strRef>
              <c:f>Industry!$H$22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Industry!$I$22:$L$22</c:f>
              <c:numCache>
                <c:formatCode>0.00%</c:formatCode>
                <c:ptCount val="4"/>
                <c:pt idx="0">
                  <c:v>0.1867</c:v>
                </c:pt>
                <c:pt idx="1">
                  <c:v>0.19089999999999999</c:v>
                </c:pt>
                <c:pt idx="2">
                  <c:v>0.16719999999999999</c:v>
                </c:pt>
                <c:pt idx="3">
                  <c:v>0.159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4-47EA-989E-FB24F01CA4D1}"/>
            </c:ext>
          </c:extLst>
        </c:ser>
        <c:ser>
          <c:idx val="2"/>
          <c:order val="2"/>
          <c:tx>
            <c:strRef>
              <c:f>Industry!$H$23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Industry!$I$23:$L$23</c:f>
              <c:numCache>
                <c:formatCode>0.00%</c:formatCode>
                <c:ptCount val="4"/>
                <c:pt idx="0">
                  <c:v>0.15479999999999999</c:v>
                </c:pt>
                <c:pt idx="1">
                  <c:v>0.1338</c:v>
                </c:pt>
                <c:pt idx="2">
                  <c:v>0.12509999999999999</c:v>
                </c:pt>
                <c:pt idx="3">
                  <c:v>0.12089999999999999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4-47EA-989E-FB24F01CA4D1}"/>
            </c:ext>
          </c:extLst>
        </c:ser>
        <c:ser>
          <c:idx val="3"/>
          <c:order val="3"/>
          <c:tx>
            <c:strRef>
              <c:f>Industry!$H$24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4"/>
              <c:pt idx="0">
                <c:v>2020</c:v>
              </c:pt>
              <c:pt idx="1">
                <c:v>2019</c:v>
              </c:pt>
              <c:pt idx="2">
                <c:v>2018</c:v>
              </c:pt>
              <c:pt idx="3">
                <c:v>2017</c:v>
              </c:pt>
            </c:numLit>
          </c:cat>
          <c:val>
            <c:numRef>
              <c:f>Industry!$I$24:$L$24</c:f>
              <c:numCache>
                <c:formatCode>0.00%</c:formatCode>
                <c:ptCount val="4"/>
                <c:pt idx="0">
                  <c:v>0.19120000000000001</c:v>
                </c:pt>
                <c:pt idx="1">
                  <c:v>0.1694</c:v>
                </c:pt>
                <c:pt idx="2">
                  <c:v>0.19089999999999999</c:v>
                </c:pt>
                <c:pt idx="3">
                  <c:v>0.19270000000000001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54-47EA-989E-FB24F01CA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3053488"/>
        <c:axId val="613053160"/>
        <c:axId val="0"/>
      </c:bar3DChart>
      <c:catAx>
        <c:axId val="6130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53160"/>
        <c:crosses val="autoZero"/>
        <c:auto val="1"/>
        <c:lblAlgn val="ctr"/>
        <c:lblOffset val="100"/>
        <c:noMultiLvlLbl val="0"/>
      </c:catAx>
      <c:valAx>
        <c:axId val="61305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Advances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Industry!$H$55:$H$60</c:f>
              <c:strCache>
                <c:ptCount val="6"/>
                <c:pt idx="0">
                  <c:v>BOP</c:v>
                </c:pt>
                <c:pt idx="1">
                  <c:v>Askari </c:v>
                </c:pt>
                <c:pt idx="2">
                  <c:v>Metro </c:v>
                </c:pt>
                <c:pt idx="3">
                  <c:v>Standard Chartered</c:v>
                </c:pt>
                <c:pt idx="4">
                  <c:v>Faysal</c:v>
                </c:pt>
                <c:pt idx="5">
                  <c:v>JS Bank </c:v>
                </c:pt>
              </c:strCache>
            </c:strRef>
          </c:cat>
          <c:val>
            <c:numRef>
              <c:f>Industry!$I$55:$I$60</c:f>
              <c:numCache>
                <c:formatCode>General</c:formatCode>
                <c:ptCount val="6"/>
                <c:pt idx="0">
                  <c:v>391</c:v>
                </c:pt>
                <c:pt idx="1">
                  <c:v>395</c:v>
                </c:pt>
                <c:pt idx="2">
                  <c:v>312</c:v>
                </c:pt>
                <c:pt idx="3">
                  <c:v>178</c:v>
                </c:pt>
                <c:pt idx="4">
                  <c:v>318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A-4501-8294-E3B63B8CC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398280"/>
        <c:axId val="484400248"/>
      </c:barChart>
      <c:catAx>
        <c:axId val="48439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0248"/>
        <c:crosses val="autoZero"/>
        <c:auto val="1"/>
        <c:lblAlgn val="ctr"/>
        <c:lblOffset val="100"/>
        <c:noMultiLvlLbl val="0"/>
      </c:catAx>
      <c:valAx>
        <c:axId val="48440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9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Deposits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Industry!$H$64:$H$69</c:f>
              <c:strCache>
                <c:ptCount val="6"/>
                <c:pt idx="0">
                  <c:v>BOP</c:v>
                </c:pt>
                <c:pt idx="1">
                  <c:v>Askari </c:v>
                </c:pt>
                <c:pt idx="2">
                  <c:v>Metro </c:v>
                </c:pt>
                <c:pt idx="3">
                  <c:v>Standard Chartered</c:v>
                </c:pt>
                <c:pt idx="4">
                  <c:v>Faysal</c:v>
                </c:pt>
                <c:pt idx="5">
                  <c:v>JS Bank </c:v>
                </c:pt>
              </c:strCache>
            </c:strRef>
          </c:cat>
          <c:val>
            <c:numRef>
              <c:f>Industry!$I$64:$I$69</c:f>
              <c:numCache>
                <c:formatCode>General</c:formatCode>
                <c:ptCount val="6"/>
                <c:pt idx="0">
                  <c:v>835</c:v>
                </c:pt>
                <c:pt idx="1">
                  <c:v>791</c:v>
                </c:pt>
                <c:pt idx="2">
                  <c:v>681</c:v>
                </c:pt>
                <c:pt idx="3">
                  <c:v>557</c:v>
                </c:pt>
                <c:pt idx="4">
                  <c:v>541</c:v>
                </c:pt>
                <c:pt idx="5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1-4C95-B265-D47E177CB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103824"/>
        <c:axId val="628107104"/>
      </c:barChart>
      <c:catAx>
        <c:axId val="62810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07104"/>
        <c:crosses val="autoZero"/>
        <c:auto val="1"/>
        <c:lblAlgn val="ctr"/>
        <c:lblOffset val="100"/>
        <c:noMultiLvlLbl val="0"/>
      </c:catAx>
      <c:valAx>
        <c:axId val="6281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0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Comparison!$A$8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Comparison!$B$8:$F$8</c:f>
              <c:numCache>
                <c:formatCode>0.00%</c:formatCode>
                <c:ptCount val="5"/>
                <c:pt idx="0">
                  <c:v>0.23677370457559213</c:v>
                </c:pt>
                <c:pt idx="1">
                  <c:v>0.2019769685960679</c:v>
                </c:pt>
                <c:pt idx="2">
                  <c:v>0.25372192726087062</c:v>
                </c:pt>
                <c:pt idx="3">
                  <c:v>0.27483691510567199</c:v>
                </c:pt>
                <c:pt idx="4">
                  <c:v>0.23043639071652208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D-4387-B2E0-7504904ED9A0}"/>
            </c:ext>
          </c:extLst>
        </c:ser>
        <c:ser>
          <c:idx val="1"/>
          <c:order val="1"/>
          <c:tx>
            <c:strRef>
              <c:f>Comparison!$A$9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Comparison!$B$9:$F$9</c:f>
              <c:numCache>
                <c:formatCode>0.00%</c:formatCode>
                <c:ptCount val="5"/>
                <c:pt idx="0">
                  <c:v>0.11152505742246227</c:v>
                </c:pt>
                <c:pt idx="1">
                  <c:v>0.12204157845431043</c:v>
                </c:pt>
                <c:pt idx="2">
                  <c:v>8.8712461777605639E-2</c:v>
                </c:pt>
                <c:pt idx="3">
                  <c:v>8.9899478765862073E-2</c:v>
                </c:pt>
                <c:pt idx="4">
                  <c:v>0.12084200852203097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6D-4387-B2E0-7504904ED9A0}"/>
            </c:ext>
          </c:extLst>
        </c:ser>
        <c:ser>
          <c:idx val="2"/>
          <c:order val="2"/>
          <c:tx>
            <c:strRef>
              <c:f>Comparison!$A$10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Comparison!$B$10:$F$10</c:f>
              <c:numCache>
                <c:formatCode>0.00%</c:formatCode>
                <c:ptCount val="5"/>
                <c:pt idx="0">
                  <c:v>0.13122324492071488</c:v>
                </c:pt>
                <c:pt idx="1">
                  <c:v>0.11748171663192908</c:v>
                </c:pt>
                <c:pt idx="2">
                  <c:v>9.1316708746236083E-2</c:v>
                </c:pt>
                <c:pt idx="3">
                  <c:v>0.10393364410130584</c:v>
                </c:pt>
                <c:pt idx="4">
                  <c:v>0.13303600953893932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6D-4387-B2E0-7504904ED9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4183872"/>
        <c:axId val="614187808"/>
      </c:barChart>
      <c:catAx>
        <c:axId val="6141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187808"/>
        <c:crosses val="autoZero"/>
        <c:auto val="1"/>
        <c:lblAlgn val="ctr"/>
        <c:lblOffset val="100"/>
        <c:noMultiLvlLbl val="0"/>
      </c:catAx>
      <c:valAx>
        <c:axId val="61418780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61418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Return on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09492563429571"/>
          <c:y val="0.17171296296296296"/>
          <c:w val="0.85334951881014875"/>
          <c:h val="0.614984324876057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Comparison!$A$13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Comparison!$B$13:$F$13</c:f>
              <c:numCache>
                <c:formatCode>0.00%</c:formatCode>
                <c:ptCount val="5"/>
                <c:pt idx="0">
                  <c:v>0.17244680426629114</c:v>
                </c:pt>
                <c:pt idx="1">
                  <c:v>0.16079008484679008</c:v>
                </c:pt>
                <c:pt idx="2">
                  <c:v>0.21966833763270299</c:v>
                </c:pt>
                <c:pt idx="3">
                  <c:v>0.16715693981214802</c:v>
                </c:pt>
                <c:pt idx="4">
                  <c:v>0.1310072266901332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5-4B07-B581-80D03A409873}"/>
            </c:ext>
          </c:extLst>
        </c:ser>
        <c:ser>
          <c:idx val="1"/>
          <c:order val="1"/>
          <c:tx>
            <c:strRef>
              <c:f>Comparison!$A$14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Comparison!$B$14:$F$14</c:f>
              <c:numCache>
                <c:formatCode>0.00%</c:formatCode>
                <c:ptCount val="5"/>
                <c:pt idx="0">
                  <c:v>0.17336872560295868</c:v>
                </c:pt>
                <c:pt idx="1">
                  <c:v>0.19855054586784968</c:v>
                </c:pt>
                <c:pt idx="2">
                  <c:v>0.16550801169835999</c:v>
                </c:pt>
                <c:pt idx="3">
                  <c:v>0.13188185686457357</c:v>
                </c:pt>
                <c:pt idx="4">
                  <c:v>0.15737129698491045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5-4B07-B581-80D03A409873}"/>
            </c:ext>
          </c:extLst>
        </c:ser>
        <c:ser>
          <c:idx val="2"/>
          <c:order val="2"/>
          <c:tx>
            <c:strRef>
              <c:f>Comparison!$A$15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Comparison!$B$15:$F$15</c:f>
              <c:numCache>
                <c:formatCode>0.00%</c:formatCode>
                <c:ptCount val="5"/>
                <c:pt idx="0">
                  <c:v>0.11507836048053903</c:v>
                </c:pt>
                <c:pt idx="1">
                  <c:v>0.11223860180984883</c:v>
                </c:pt>
                <c:pt idx="2">
                  <c:v>0.10875818778360442</c:v>
                </c:pt>
                <c:pt idx="3">
                  <c:v>0.11094043887511737</c:v>
                </c:pt>
                <c:pt idx="4">
                  <c:v>0.12631232836741466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5-4B07-B581-80D03A409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4880656"/>
        <c:axId val="614889512"/>
        <c:axId val="0"/>
      </c:bar3DChart>
      <c:catAx>
        <c:axId val="61488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89512"/>
        <c:crosses val="autoZero"/>
        <c:auto val="1"/>
        <c:lblAlgn val="ctr"/>
        <c:lblOffset val="100"/>
        <c:noMultiLvlLbl val="0"/>
      </c:catAx>
      <c:valAx>
        <c:axId val="61488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8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Earnings Per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Comparison!$A$18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Comparison!$B$18:$F$18</c:f>
              <c:numCache>
                <c:formatCode>General</c:formatCode>
                <c:ptCount val="5"/>
                <c:pt idx="0">
                  <c:v>0.35</c:v>
                </c:pt>
                <c:pt idx="1">
                  <c:v>0.34</c:v>
                </c:pt>
                <c:pt idx="2">
                  <c:v>0.41</c:v>
                </c:pt>
                <c:pt idx="3">
                  <c:v>0.28999999999999998</c:v>
                </c:pt>
                <c:pt idx="4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2-4339-9A2F-67A3BC6720E8}"/>
            </c:ext>
          </c:extLst>
        </c:ser>
        <c:ser>
          <c:idx val="1"/>
          <c:order val="1"/>
          <c:tx>
            <c:strRef>
              <c:f>Comparison!$A$19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Comparison!$B$19:$F$19</c:f>
              <c:numCache>
                <c:formatCode>General</c:formatCode>
                <c:ptCount val="5"/>
                <c:pt idx="0">
                  <c:v>7.71</c:v>
                </c:pt>
                <c:pt idx="1">
                  <c:v>8.61</c:v>
                </c:pt>
                <c:pt idx="2">
                  <c:v>5.58</c:v>
                </c:pt>
                <c:pt idx="3">
                  <c:v>3.51</c:v>
                </c:pt>
                <c:pt idx="4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2-4339-9A2F-67A3BC6720E8}"/>
            </c:ext>
          </c:extLst>
        </c:ser>
        <c:ser>
          <c:idx val="2"/>
          <c:order val="2"/>
          <c:tx>
            <c:strRef>
              <c:f>Comparison!$A$20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Comparison!$B$20:$F$20</c:f>
              <c:numCache>
                <c:formatCode>General</c:formatCode>
                <c:ptCount val="5"/>
                <c:pt idx="0">
                  <c:v>2.97</c:v>
                </c:pt>
                <c:pt idx="1">
                  <c:v>3.22</c:v>
                </c:pt>
                <c:pt idx="2">
                  <c:v>3.96</c:v>
                </c:pt>
                <c:pt idx="3">
                  <c:v>4.4000000000000004</c:v>
                </c:pt>
                <c:pt idx="4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2-4339-9A2F-67A3BC672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61334208"/>
        <c:axId val="661337160"/>
      </c:barChart>
      <c:catAx>
        <c:axId val="66133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337160"/>
        <c:crosses val="autoZero"/>
        <c:auto val="1"/>
        <c:lblAlgn val="ctr"/>
        <c:lblOffset val="100"/>
        <c:noMultiLvlLbl val="0"/>
      </c:catAx>
      <c:valAx>
        <c:axId val="661337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13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Operating Efficiency</a:t>
            </a:r>
          </a:p>
        </c:rich>
      </c:tx>
      <c:layout>
        <c:manualLayout>
          <c:xMode val="edge"/>
          <c:yMode val="edge"/>
          <c:x val="0.3456041119860018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Comparison!$A$24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Comparison!$B$24:$F$24</c:f>
              <c:numCache>
                <c:formatCode>0.00%</c:formatCode>
                <c:ptCount val="5"/>
                <c:pt idx="0">
                  <c:v>0.50068618293802936</c:v>
                </c:pt>
                <c:pt idx="1">
                  <c:v>0.50395109080824985</c:v>
                </c:pt>
                <c:pt idx="2">
                  <c:v>0.61728914999889983</c:v>
                </c:pt>
                <c:pt idx="3">
                  <c:v>0.67022181122454771</c:v>
                </c:pt>
                <c:pt idx="4">
                  <c:v>0.67000810259667654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8-48B9-98BE-F8F887296424}"/>
            </c:ext>
          </c:extLst>
        </c:ser>
        <c:ser>
          <c:idx val="1"/>
          <c:order val="1"/>
          <c:tx>
            <c:strRef>
              <c:f>Comparison!$A$25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Comparison!$B$25:$F$25</c:f>
              <c:numCache>
                <c:formatCode>0.00%</c:formatCode>
                <c:ptCount val="5"/>
                <c:pt idx="0">
                  <c:v>0.33119296004324894</c:v>
                </c:pt>
                <c:pt idx="1">
                  <c:v>0.30445339781017855</c:v>
                </c:pt>
                <c:pt idx="2">
                  <c:v>0.26176581673606958</c:v>
                </c:pt>
                <c:pt idx="3">
                  <c:v>0.34888937698235373</c:v>
                </c:pt>
                <c:pt idx="4">
                  <c:v>0.36645262748564666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8-48B9-98BE-F8F887296424}"/>
            </c:ext>
          </c:extLst>
        </c:ser>
        <c:ser>
          <c:idx val="2"/>
          <c:order val="2"/>
          <c:tx>
            <c:strRef>
              <c:f>Comparison!$A$26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Comparison!$B$26:$F$26</c:f>
              <c:numCache>
                <c:formatCode>0.00%</c:formatCode>
                <c:ptCount val="5"/>
                <c:pt idx="0">
                  <c:v>0.30859724566776964</c:v>
                </c:pt>
                <c:pt idx="1">
                  <c:v>0.29015305716053397</c:v>
                </c:pt>
                <c:pt idx="2">
                  <c:v>0.28479305175014585</c:v>
                </c:pt>
                <c:pt idx="3">
                  <c:v>0.38174752450024774</c:v>
                </c:pt>
                <c:pt idx="4">
                  <c:v>0.44963879202284746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8-48B9-98BE-F8F887296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8371360"/>
        <c:axId val="738372016"/>
        <c:axId val="0"/>
      </c:bar3DChart>
      <c:catAx>
        <c:axId val="7383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2016"/>
        <c:crosses val="autoZero"/>
        <c:auto val="1"/>
        <c:lblAlgn val="ctr"/>
        <c:lblOffset val="100"/>
        <c:noMultiLvlLbl val="0"/>
      </c:catAx>
      <c:valAx>
        <c:axId val="7383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Equity Multiplier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Comparison!$A$29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Comparison!$B$29:$F$29</c:f>
              <c:numCache>
                <c:formatCode>0.00</c:formatCode>
                <c:ptCount val="5"/>
                <c:pt idx="0">
                  <c:v>22.471613436788079</c:v>
                </c:pt>
                <c:pt idx="1">
                  <c:v>18.157708667180859</c:v>
                </c:pt>
                <c:pt idx="2">
                  <c:v>19.655663176586923</c:v>
                </c:pt>
                <c:pt idx="3">
                  <c:v>21.031502578201465</c:v>
                </c:pt>
                <c:pt idx="4">
                  <c:v>20.369759309780392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7-44B0-B9CB-9EF9DB515039}"/>
            </c:ext>
          </c:extLst>
        </c:ser>
        <c:ser>
          <c:idx val="1"/>
          <c:order val="1"/>
          <c:tx>
            <c:strRef>
              <c:f>Comparison!$A$30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Comparison!$B$30:$F$30</c:f>
              <c:numCache>
                <c:formatCode>0.00</c:formatCode>
                <c:ptCount val="5"/>
                <c:pt idx="0">
                  <c:v>13.155356627263</c:v>
                </c:pt>
                <c:pt idx="1">
                  <c:v>11.79154366029595</c:v>
                </c:pt>
                <c:pt idx="2">
                  <c:v>11.409397458394299</c:v>
                </c:pt>
                <c:pt idx="3">
                  <c:v>13.78248687572113</c:v>
                </c:pt>
                <c:pt idx="4">
                  <c:v>12.615115370823757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7-44B0-B9CB-9EF9DB515039}"/>
            </c:ext>
          </c:extLst>
        </c:ser>
        <c:ser>
          <c:idx val="2"/>
          <c:order val="2"/>
          <c:tx>
            <c:strRef>
              <c:f>Comparison!$A$31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Comparison!$B$31:$F$31</c:f>
              <c:numCache>
                <c:formatCode>General</c:formatCode>
                <c:ptCount val="5"/>
                <c:pt idx="0">
                  <c:v>10.54</c:v>
                </c:pt>
                <c:pt idx="1">
                  <c:v>8.84</c:v>
                </c:pt>
                <c:pt idx="2">
                  <c:v>8.5</c:v>
                </c:pt>
                <c:pt idx="3">
                  <c:v>8.57</c:v>
                </c:pt>
                <c:pt idx="4">
                  <c:v>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7-44B0-B9CB-9EF9DB5150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48671952"/>
        <c:axId val="548664736"/>
      </c:barChart>
      <c:catAx>
        <c:axId val="54867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664736"/>
        <c:crosses val="autoZero"/>
        <c:auto val="1"/>
        <c:lblAlgn val="ctr"/>
        <c:lblOffset val="100"/>
        <c:noMultiLvlLbl val="0"/>
      </c:catAx>
      <c:valAx>
        <c:axId val="5486647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486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/>
              <a:t>Non Performing Loans/Total Loans</a:t>
            </a:r>
          </a:p>
        </c:rich>
      </c:tx>
      <c:layout>
        <c:manualLayout>
          <c:xMode val="edge"/>
          <c:yMode val="edge"/>
          <c:x val="0.1370763342082239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Comparison!$A$3</c:f>
              <c:strCache>
                <c:ptCount val="1"/>
                <c:pt idx="0">
                  <c:v>Standard Chartered Bank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Comparison!$B$3:$F$3</c:f>
              <c:numCache>
                <c:formatCode>0.00%</c:formatCode>
                <c:ptCount val="5"/>
                <c:pt idx="0">
                  <c:v>7.5120055561406652E-3</c:v>
                </c:pt>
                <c:pt idx="1">
                  <c:v>2.0928088235035013E-2</c:v>
                </c:pt>
                <c:pt idx="2">
                  <c:v>6.2490326976696884E-3</c:v>
                </c:pt>
                <c:pt idx="3">
                  <c:v>3.3092989879509693E-3</c:v>
                </c:pt>
                <c:pt idx="4">
                  <c:v>4.5999872473845805E-3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E-459C-9D1F-6955A8231CFC}"/>
            </c:ext>
          </c:extLst>
        </c:ser>
        <c:ser>
          <c:idx val="1"/>
          <c:order val="1"/>
          <c:tx>
            <c:strRef>
              <c:f>Comparison!$A$4</c:f>
              <c:strCache>
                <c:ptCount val="1"/>
                <c:pt idx="0">
                  <c:v>Askari Bank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Comparison!$B$4:$F$4</c:f>
              <c:numCache>
                <c:formatCode>0.00%</c:formatCode>
                <c:ptCount val="5"/>
                <c:pt idx="0">
                  <c:v>6.5244059355732256E-2</c:v>
                </c:pt>
                <c:pt idx="1">
                  <c:v>7.2673829594501416E-2</c:v>
                </c:pt>
                <c:pt idx="2">
                  <c:v>7.5438513527685089E-2</c:v>
                </c:pt>
                <c:pt idx="3">
                  <c:v>7.7693181949369305E-2</c:v>
                </c:pt>
                <c:pt idx="4">
                  <c:v>0.10341608820577447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E-459C-9D1F-6955A8231CFC}"/>
            </c:ext>
          </c:extLst>
        </c:ser>
        <c:ser>
          <c:idx val="2"/>
          <c:order val="2"/>
          <c:tx>
            <c:strRef>
              <c:f>Comparison!$A$5</c:f>
              <c:strCache>
                <c:ptCount val="1"/>
                <c:pt idx="0">
                  <c:v>Faysal Bank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Comparison!$B$5:$F$5</c:f>
              <c:numCache>
                <c:formatCode>0.00%</c:formatCode>
                <c:ptCount val="5"/>
                <c:pt idx="0">
                  <c:v>0.11414060578020781</c:v>
                </c:pt>
                <c:pt idx="1">
                  <c:v>8.673473681839268E-2</c:v>
                </c:pt>
                <c:pt idx="2">
                  <c:v>9.2957579679380439E-2</c:v>
                </c:pt>
                <c:pt idx="3">
                  <c:v>7.0421052836031325E-2</c:v>
                </c:pt>
                <c:pt idx="4">
                  <c:v>4.8036375959403736E-2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E-459C-9D1F-6955A823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8162328"/>
        <c:axId val="708164952"/>
        <c:axId val="0"/>
      </c:bar3DChart>
      <c:catAx>
        <c:axId val="70816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64952"/>
        <c:crosses val="autoZero"/>
        <c:auto val="1"/>
        <c:lblAlgn val="ctr"/>
        <c:lblOffset val="100"/>
        <c:noMultiLvlLbl val="0"/>
      </c:catAx>
      <c:valAx>
        <c:axId val="70816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6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Loan by Sectors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503-4DF6-B48C-986BCDE532E7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03-4DF6-B48C-986BCDE532E7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503-4DF6-B48C-986BCDE532E7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03-4DF6-B48C-986BCDE532E7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503-4DF6-B48C-986BCDE532E7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03-4DF6-B48C-986BCDE532E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503-4DF6-B48C-986BCDE532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503-4DF6-B48C-986BCDE532E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shade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503-4DF6-B48C-986BCDE532E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9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503-4DF6-B48C-986BCDE532E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503-4DF6-B48C-986BCDE532E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spc="0" baseline="0">
                      <a:solidFill>
                        <a:schemeClr val="accent1">
                          <a:tint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503-4DF6-B48C-986BCDE532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Sheet2!$A$2:$A$7</c:f>
              <c:strCache>
                <c:ptCount val="6"/>
                <c:pt idx="0">
                  <c:v>Textile</c:v>
                </c:pt>
                <c:pt idx="1">
                  <c:v>Chemical and Pharmaceutical</c:v>
                </c:pt>
                <c:pt idx="2">
                  <c:v>Sugar</c:v>
                </c:pt>
                <c:pt idx="3">
                  <c:v>Food and allied</c:v>
                </c:pt>
                <c:pt idx="4">
                  <c:v>Power and energy </c:v>
                </c:pt>
                <c:pt idx="5">
                  <c:v>Services </c:v>
                </c:pt>
              </c:strCache>
            </c:strRef>
          </c:cat>
          <c:val>
            <c:numRef>
              <c:f>Sheet2!$C$2:$C$7</c:f>
              <c:numCache>
                <c:formatCode>0.00%</c:formatCode>
                <c:ptCount val="6"/>
                <c:pt idx="0">
                  <c:v>0.12731153474462159</c:v>
                </c:pt>
                <c:pt idx="1">
                  <c:v>3.0565787910774918E-2</c:v>
                </c:pt>
                <c:pt idx="2">
                  <c:v>2.9516532817025525E-2</c:v>
                </c:pt>
                <c:pt idx="3">
                  <c:v>0.1077307296303769</c:v>
                </c:pt>
                <c:pt idx="4">
                  <c:v>0.11851595324344483</c:v>
                </c:pt>
                <c:pt idx="5">
                  <c:v>7.3041686185776264E-2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3-4DF6-B48C-986BCDE532E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Gross</a:t>
            </a:r>
            <a:r>
              <a:rPr lang="en-US" sz="2400" b="1" baseline="0"/>
              <a:t> Loans by Sectors (2021-2017)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22042422063367E-2"/>
          <c:y val="7.2531107927823038E-2"/>
          <c:w val="0.90689313401333338"/>
          <c:h val="0.8000569899372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Textile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Sheet2!$C$1:$K$1</c:f>
              <c:numCache>
                <c:formatCode>General</c:formatCode>
                <c:ptCount val="5"/>
                <c:pt idx="0">
                  <c:v>2021</c:v>
                </c:pt>
                <c:pt idx="1">
                  <c:v>2020</c:v>
                </c:pt>
                <c:pt idx="2">
                  <c:v>2019</c:v>
                </c:pt>
                <c:pt idx="3">
                  <c:v>2018</c:v>
                </c:pt>
                <c:pt idx="4">
                  <c:v>2017</c:v>
                </c:pt>
              </c:numCache>
            </c:numRef>
          </c:cat>
          <c:val>
            <c:numRef>
              <c:f>Sheet2!$C$2:$K$2</c:f>
              <c:numCache>
                <c:formatCode>0.00%</c:formatCode>
                <c:ptCount val="5"/>
                <c:pt idx="0">
                  <c:v>0.12731153474462159</c:v>
                </c:pt>
                <c:pt idx="1">
                  <c:v>0.1217302934671952</c:v>
                </c:pt>
                <c:pt idx="2">
                  <c:v>0.16173633111702881</c:v>
                </c:pt>
                <c:pt idx="3">
                  <c:v>0.1826892998043704</c:v>
                </c:pt>
                <c:pt idx="4">
                  <c:v>0.14668302878736547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E-43AE-93FC-8C1DFAFC2BEA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Chemical and Pharmaceutical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Sheet2!$C$3:$K$3</c:f>
              <c:numCache>
                <c:formatCode>0.00%</c:formatCode>
                <c:ptCount val="5"/>
                <c:pt idx="0">
                  <c:v>3.0565787910774918E-2</c:v>
                </c:pt>
                <c:pt idx="1">
                  <c:v>2.930554791999021E-2</c:v>
                </c:pt>
                <c:pt idx="2">
                  <c:v>4.5149771284802215E-2</c:v>
                </c:pt>
                <c:pt idx="3">
                  <c:v>7.7203226549182907E-2</c:v>
                </c:pt>
                <c:pt idx="4">
                  <c:v>3.2537791859996182E-2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EE-43AE-93FC-8C1DFAFC2BEA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Sheet2!$C$4:$K$4</c:f>
              <c:numCache>
                <c:formatCode>0.00%</c:formatCode>
                <c:ptCount val="5"/>
                <c:pt idx="0">
                  <c:v>2.9516532817025525E-2</c:v>
                </c:pt>
                <c:pt idx="1">
                  <c:v>3.0354396043297059E-2</c:v>
                </c:pt>
                <c:pt idx="2">
                  <c:v>3.8243870900307043E-2</c:v>
                </c:pt>
                <c:pt idx="3">
                  <c:v>3.4874121245921402E-2</c:v>
                </c:pt>
                <c:pt idx="4">
                  <c:v>2.5256982256468118E-2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EE-43AE-93FC-8C1DFAFC2BEA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Food and allied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Sheet2!$C$5:$K$5</c:f>
              <c:numCache>
                <c:formatCode>0.00%</c:formatCode>
                <c:ptCount val="5"/>
                <c:pt idx="0">
                  <c:v>0.1077307296303769</c:v>
                </c:pt>
                <c:pt idx="1">
                  <c:v>7.3996434829092572E-2</c:v>
                </c:pt>
                <c:pt idx="2">
                  <c:v>1.8625725724778507E-2</c:v>
                </c:pt>
                <c:pt idx="3">
                  <c:v>1.7024723132802986E-2</c:v>
                </c:pt>
                <c:pt idx="4">
                  <c:v>9.4151442181810222E-3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EE-43AE-93FC-8C1DFAFC2BEA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Power and energy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Sheet2!$C$6:$K$6</c:f>
              <c:numCache>
                <c:formatCode>0.00%</c:formatCode>
                <c:ptCount val="5"/>
                <c:pt idx="0">
                  <c:v>0.11851595324344483</c:v>
                </c:pt>
                <c:pt idx="1">
                  <c:v>0.12424642896758614</c:v>
                </c:pt>
                <c:pt idx="2">
                  <c:v>2.6561777938072021E-2</c:v>
                </c:pt>
                <c:pt idx="3">
                  <c:v>9.9076579434862616E-3</c:v>
                </c:pt>
                <c:pt idx="4">
                  <c:v>7.7861091278610545E-2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EE-43AE-93FC-8C1DFAFC2BEA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Services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Sheet2!$C$7:$K$7</c:f>
              <c:numCache>
                <c:formatCode>0.00%</c:formatCode>
                <c:ptCount val="5"/>
                <c:pt idx="0">
                  <c:v>7.3041686185776264E-2</c:v>
                </c:pt>
                <c:pt idx="1">
                  <c:v>8.057834352002699E-2</c:v>
                </c:pt>
                <c:pt idx="2">
                  <c:v>6.6608771528924249E-2</c:v>
                </c:pt>
                <c:pt idx="3">
                  <c:v>3.4258554965709204E-2</c:v>
                </c:pt>
                <c:pt idx="4">
                  <c:v>3.9735415744134472E-2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EE-43AE-93FC-8C1DFAFC2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3489535"/>
        <c:axId val="1793495775"/>
      </c:barChart>
      <c:catAx>
        <c:axId val="179348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95775"/>
        <c:crosses val="autoZero"/>
        <c:auto val="1"/>
        <c:lblAlgn val="ctr"/>
        <c:lblOffset val="100"/>
        <c:noMultiLvlLbl val="0"/>
      </c:catAx>
      <c:valAx>
        <c:axId val="17934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4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347438906811275"/>
          <c:y val="0.87704020679923245"/>
          <c:w val="0.65498599818045311"/>
          <c:h val="0.12214990488791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Performing Loans by Sectors (2021-2017)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Sheet2!$V$2</c:f>
              <c:strCache>
                <c:ptCount val="1"/>
                <c:pt idx="0">
                  <c:v>Textile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Sheet2!$W$2:$AF$2</c:f>
              <c:numCache>
                <c:formatCode>0.00%</c:formatCode>
                <c:ptCount val="9"/>
                <c:pt idx="0" formatCode="General">
                  <c:v>9573196</c:v>
                </c:pt>
                <c:pt idx="1">
                  <c:v>0.33695610931191333</c:v>
                </c:pt>
                <c:pt idx="2" formatCode="General">
                  <c:v>10377789</c:v>
                </c:pt>
                <c:pt idx="3">
                  <c:v>0.36527606921449968</c:v>
                </c:pt>
                <c:pt idx="4">
                  <c:v>0.40085593314531154</c:v>
                </c:pt>
                <c:pt idx="5" formatCode="General">
                  <c:v>12335315</c:v>
                </c:pt>
                <c:pt idx="6">
                  <c:v>0.46274056361599314</c:v>
                </c:pt>
                <c:pt idx="7" formatCode="General">
                  <c:v>12000289</c:v>
                </c:pt>
                <c:pt idx="8">
                  <c:v>0.44855817623927191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6-4300-8093-57EFD12E2DEA}"/>
            </c:ext>
          </c:extLst>
        </c:ser>
        <c:ser>
          <c:idx val="1"/>
          <c:order val="1"/>
          <c:tx>
            <c:strRef>
              <c:f>Sheet2!$V$3</c:f>
              <c:strCache>
                <c:ptCount val="1"/>
                <c:pt idx="0">
                  <c:v>Electronics and electrical appliances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Sheet2!$W$3:$AF$3</c:f>
              <c:numCache>
                <c:formatCode>0.00%</c:formatCode>
                <c:ptCount val="9"/>
                <c:pt idx="0" formatCode="General">
                  <c:v>1104739</c:v>
                </c:pt>
                <c:pt idx="1">
                  <c:v>3.8884459823567155E-2</c:v>
                </c:pt>
                <c:pt idx="2" formatCode="General">
                  <c:v>1114668</c:v>
                </c:pt>
                <c:pt idx="3">
                  <c:v>3.9233939475854435E-2</c:v>
                </c:pt>
                <c:pt idx="4">
                  <c:v>3.9789225645450073E-2</c:v>
                </c:pt>
                <c:pt idx="5" formatCode="General">
                  <c:v>1119429</c:v>
                </c:pt>
                <c:pt idx="6">
                  <c:v>4.1993674777505687E-2</c:v>
                </c:pt>
                <c:pt idx="7" formatCode="General">
                  <c:v>1116900</c:v>
                </c:pt>
                <c:pt idx="8">
                  <c:v>4.1748546809301242E-2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06-4300-8093-57EFD12E2DEA}"/>
            </c:ext>
          </c:extLst>
        </c:ser>
        <c:ser>
          <c:idx val="2"/>
          <c:order val="2"/>
          <c:tx>
            <c:strRef>
              <c:f>Sheet2!$V$4</c:f>
              <c:strCache>
                <c:ptCount val="1"/>
                <c:pt idx="0">
                  <c:v>Power (electricity), Gas, Water, Sanitary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Sheet2!$W$4:$AF$4</c:f>
              <c:numCache>
                <c:formatCode>0.00%</c:formatCode>
                <c:ptCount val="9"/>
                <c:pt idx="0" formatCode="General">
                  <c:v>5478395</c:v>
                </c:pt>
                <c:pt idx="1">
                  <c:v>0.19282783560201205</c:v>
                </c:pt>
                <c:pt idx="2" formatCode="General">
                  <c:v>3295100</c:v>
                </c:pt>
                <c:pt idx="3">
                  <c:v>0.11598050178787581</c:v>
                </c:pt>
                <c:pt idx="4">
                  <c:v>0.12692405725988293</c:v>
                </c:pt>
                <c:pt idx="5" formatCode="General">
                  <c:v>1671611</c:v>
                </c:pt>
                <c:pt idx="6">
                  <c:v>6.2707941895824626E-2</c:v>
                </c:pt>
                <c:pt idx="7" formatCode="General">
                  <c:v>1675648</c:v>
                </c:pt>
                <c:pt idx="8">
                  <c:v>6.2633959140399334E-2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06-4300-8093-57EFD12E2DEA}"/>
            </c:ext>
          </c:extLst>
        </c:ser>
        <c:ser>
          <c:idx val="3"/>
          <c:order val="3"/>
          <c:tx>
            <c:strRef>
              <c:f>Sheet2!$V$5</c:f>
              <c:strCache>
                <c:ptCount val="1"/>
                <c:pt idx="0">
                  <c:v>Individuals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Sheet2!$W$5:$AF$5</c:f>
              <c:numCache>
                <c:formatCode>0.00%</c:formatCode>
                <c:ptCount val="9"/>
                <c:pt idx="0" formatCode="General">
                  <c:v>2569558</c:v>
                </c:pt>
                <c:pt idx="1">
                  <c:v>9.0442968715077107E-2</c:v>
                </c:pt>
                <c:pt idx="2" formatCode="General">
                  <c:v>2662811</c:v>
                </c:pt>
                <c:pt idx="3">
                  <c:v>9.3725275696117077E-2</c:v>
                </c:pt>
                <c:pt idx="4">
                  <c:v>7.7006720664728009E-2</c:v>
                </c:pt>
                <c:pt idx="5" formatCode="General">
                  <c:v>2111521</c:v>
                </c:pt>
                <c:pt idx="6">
                  <c:v>7.9210495850896831E-2</c:v>
                </c:pt>
                <c:pt idx="7" formatCode="General">
                  <c:v>2004025</c:v>
                </c:pt>
                <c:pt idx="8">
                  <c:v>7.4908345885495498E-2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06-4300-8093-57EFD12E2DEA}"/>
            </c:ext>
          </c:extLst>
        </c:ser>
        <c:ser>
          <c:idx val="4"/>
          <c:order val="4"/>
          <c:tx>
            <c:strRef>
              <c:f>Sheet2!$V$6</c:f>
              <c:strCache>
                <c:ptCount val="1"/>
                <c:pt idx="0">
                  <c:v>Edible oil and ghee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Sheet2!$W$6:$AF$6</c:f>
              <c:numCache>
                <c:formatCode>0.00%</c:formatCode>
                <c:ptCount val="9"/>
                <c:pt idx="0" formatCode="General">
                  <c:v>1668682</c:v>
                </c:pt>
                <c:pt idx="1">
                  <c:v>5.8734052285028128E-2</c:v>
                </c:pt>
                <c:pt idx="2" formatCode="General">
                  <c:v>1681161</c:v>
                </c:pt>
                <c:pt idx="3">
                  <c:v>5.9173286506086942E-2</c:v>
                </c:pt>
                <c:pt idx="4">
                  <c:v>1.8232440899833096E-2</c:v>
                </c:pt>
                <c:pt idx="5" formatCode="General">
                  <c:v>549956</c:v>
                </c:pt>
                <c:pt idx="6">
                  <c:v>2.0630762117059605E-2</c:v>
                </c:pt>
                <c:pt idx="7" formatCode="General">
                  <c:v>460614</c:v>
                </c:pt>
                <c:pt idx="8">
                  <c:v>1.7217266666684109E-2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06-4300-8093-57EFD12E2DEA}"/>
            </c:ext>
          </c:extLst>
        </c:ser>
        <c:ser>
          <c:idx val="5"/>
          <c:order val="5"/>
          <c:tx>
            <c:strRef>
              <c:f>Sheet2!$V$7</c:f>
              <c:strCache>
                <c:ptCount val="1"/>
                <c:pt idx="0">
                  <c:v>Others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Sheet2!$W$7:$AF$7</c:f>
              <c:numCache>
                <c:formatCode>0.00%</c:formatCode>
                <c:ptCount val="9"/>
                <c:pt idx="0" formatCode="General">
                  <c:v>2547719</c:v>
                </c:pt>
                <c:pt idx="1">
                  <c:v>8.9674282429821603E-2</c:v>
                </c:pt>
                <c:pt idx="2" formatCode="General">
                  <c:v>2311783</c:v>
                </c:pt>
                <c:pt idx="3">
                  <c:v>8.1369837748378165E-2</c:v>
                </c:pt>
                <c:pt idx="4">
                  <c:v>7.3800170349207342E-2</c:v>
                </c:pt>
                <c:pt idx="5" formatCode="General">
                  <c:v>2164010</c:v>
                </c:pt>
                <c:pt idx="6">
                  <c:v>8.1179540779513559E-2</c:v>
                </c:pt>
                <c:pt idx="7" formatCode="General">
                  <c:v>2382125</c:v>
                </c:pt>
                <c:pt idx="8">
                  <c:v>8.9041326052562209E-2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06-4300-8093-57EFD12E2D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6501856"/>
        <c:axId val="696510712"/>
      </c:barChart>
      <c:catAx>
        <c:axId val="6965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10712"/>
        <c:crosses val="autoZero"/>
        <c:auto val="1"/>
        <c:lblAlgn val="ctr"/>
        <c:lblOffset val="100"/>
        <c:noMultiLvlLbl val="0"/>
      </c:catAx>
      <c:valAx>
        <c:axId val="69651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 Performing Loans by Sector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C3-4456-8AE7-E60455EBDB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C3-4456-8AE7-E60455EBDB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C3-4456-8AE7-E60455EBDB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C3-4456-8AE7-E60455EBDB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C3-4456-8AE7-E60455EBDB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C3-4456-8AE7-E60455EBDB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Sheet2!$V$2:$V$7</c:f>
              <c:strCache>
                <c:ptCount val="6"/>
                <c:pt idx="0">
                  <c:v>Textile</c:v>
                </c:pt>
                <c:pt idx="1">
                  <c:v>Electronics and electrical appliances</c:v>
                </c:pt>
                <c:pt idx="2">
                  <c:v>Power (electricity), Gas, Water, Sanitary</c:v>
                </c:pt>
                <c:pt idx="3">
                  <c:v>Individuals</c:v>
                </c:pt>
                <c:pt idx="4">
                  <c:v>Edible oil and ghee</c:v>
                </c:pt>
                <c:pt idx="5">
                  <c:v>Others</c:v>
                </c:pt>
              </c:strCache>
            </c:strRef>
          </c:cat>
          <c:val>
            <c:numRef>
              <c:f>Sheet2!$W$2:$W$7</c:f>
              <c:numCache>
                <c:formatCode>General</c:formatCode>
                <c:ptCount val="6"/>
                <c:pt idx="0">
                  <c:v>9573196</c:v>
                </c:pt>
                <c:pt idx="1">
                  <c:v>1104739</c:v>
                </c:pt>
                <c:pt idx="2">
                  <c:v>5478395</c:v>
                </c:pt>
                <c:pt idx="3">
                  <c:v>2569558</c:v>
                </c:pt>
                <c:pt idx="4">
                  <c:v>1668682</c:v>
                </c:pt>
                <c:pt idx="5">
                  <c:v>2547719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9-418C-9A6C-D93938956C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Loans by public/private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Public Advances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Sheet2!$O$2:$S$2</c:f>
              <c:numCache>
                <c:formatCode>#,##0</c:formatCode>
                <c:ptCount val="5"/>
                <c:pt idx="0">
                  <c:v>156455831</c:v>
                </c:pt>
                <c:pt idx="1">
                  <c:v>129318506</c:v>
                </c:pt>
                <c:pt idx="2">
                  <c:v>135487857</c:v>
                </c:pt>
                <c:pt idx="3">
                  <c:v>116597785</c:v>
                </c:pt>
                <c:pt idx="4">
                  <c:v>86590715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E-48A0-B81D-AE4B90D57ECB}"/>
            </c:ext>
          </c:extLst>
        </c:ser>
        <c:ser>
          <c:idx val="1"/>
          <c:order val="1"/>
          <c:tx>
            <c:strRef>
              <c:f>Sheet2!$N$3</c:f>
              <c:strCache>
                <c:ptCount val="1"/>
                <c:pt idx="0">
                  <c:v>Private Advances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2021</c:v>
              </c:pt>
              <c:pt idx="1">
                <c:v>2020</c:v>
              </c:pt>
              <c:pt idx="2">
                <c:v>2019</c:v>
              </c:pt>
              <c:pt idx="3">
                <c:v>2018</c:v>
              </c:pt>
              <c:pt idx="4">
                <c:v>2017</c:v>
              </c:pt>
            </c:numLit>
          </c:cat>
          <c:val>
            <c:numRef>
              <c:f>Sheet2!$O$3:$S$3</c:f>
              <c:numCache>
                <c:formatCode>#,##0</c:formatCode>
                <c:ptCount val="5"/>
                <c:pt idx="0">
                  <c:v>351360622</c:v>
                </c:pt>
                <c:pt idx="1">
                  <c:v>292501384</c:v>
                </c:pt>
                <c:pt idx="2">
                  <c:v>263060954</c:v>
                </c:pt>
                <c:pt idx="3">
                  <c:v>252661186</c:v>
                </c:pt>
                <c:pt idx="4">
                  <c:v>197748955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E-48A0-B81D-AE4B90D57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0359944"/>
        <c:axId val="670357648"/>
      </c:barChart>
      <c:catAx>
        <c:axId val="67035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7648"/>
        <c:crosses val="autoZero"/>
        <c:auto val="1"/>
        <c:lblAlgn val="ctr"/>
        <c:lblOffset val="100"/>
        <c:noMultiLvlLbl val="0"/>
      </c:catAx>
      <c:valAx>
        <c:axId val="6703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5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image" Target="../media/image2.png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image" Target="../media/image3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33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18</xdr:col>
      <xdr:colOff>837268</xdr:colOff>
      <xdr:row>27</xdr:row>
      <xdr:rowOff>176427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82F6A-EC6F-4A8B-91ED-F4D1A7EF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2877" y="2583493"/>
          <a:ext cx="8118021" cy="38168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455216</xdr:colOff>
      <xdr:row>2</xdr:row>
      <xdr:rowOff>365</xdr:rowOff>
    </xdr:from>
    <xdr:to>
      <xdr:col>18</xdr:col>
      <xdr:colOff>576696</xdr:colOff>
      <xdr:row>17</xdr:row>
      <xdr:rowOff>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2EBAB-C988-44B9-82B7-7F91FA243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457199</xdr:colOff>
      <xdr:row>1</xdr:row>
      <xdr:rowOff>150668</xdr:rowOff>
    </xdr:from>
    <xdr:to>
      <xdr:col>9</xdr:col>
      <xdr:colOff>69272</xdr:colOff>
      <xdr:row>16</xdr:row>
      <xdr:rowOff>150668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D47C2-A222-494F-9AC9-89752F770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516170</xdr:colOff>
      <xdr:row>17</xdr:row>
      <xdr:rowOff>152071</xdr:rowOff>
    </xdr:from>
    <xdr:to>
      <xdr:col>19</xdr:col>
      <xdr:colOff>0</xdr:colOff>
      <xdr:row>32</xdr:row>
      <xdr:rowOff>152071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F630E9-0BC8-44BC-A823-EDA506665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457200</xdr:colOff>
      <xdr:row>17</xdr:row>
      <xdr:rowOff>125241</xdr:rowOff>
    </xdr:from>
    <xdr:to>
      <xdr:col>9</xdr:col>
      <xdr:colOff>96982</xdr:colOff>
      <xdr:row>32</xdr:row>
      <xdr:rowOff>125242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69274-986E-45CE-A70D-84EE92200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100247</xdr:rowOff>
    </xdr:from>
    <xdr:to>
      <xdr:col>11</xdr:col>
      <xdr:colOff>235527</xdr:colOff>
      <xdr:row>64</xdr:row>
      <xdr:rowOff>69273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B7A711-C88D-44C6-B9C5-F44BF6059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582193</xdr:colOff>
      <xdr:row>35</xdr:row>
      <xdr:rowOff>152400</xdr:rowOff>
    </xdr:from>
    <xdr:to>
      <xdr:col>23</xdr:col>
      <xdr:colOff>96983</xdr:colOff>
      <xdr:row>63</xdr:row>
      <xdr:rowOff>166017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A54CD6-C82A-4330-80CD-42B3D3A4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87793" y="6456218"/>
          <a:ext cx="6829990" cy="5056672"/>
        </a:xfrm>
        <a:prstGeom prst="rect">
          <a:avLst/>
        </a:prstGeom>
      </xdr:spPr>
    </xdr:pic>
    <xdr:clientData/>
  </xdr:twoCellAnchor>
  <xdr:twoCellAnchor editAs="oneCell">
    <xdr:from>
      <xdr:col>19</xdr:col>
      <xdr:colOff>491835</xdr:colOff>
      <xdr:row>3</xdr:row>
      <xdr:rowOff>39648</xdr:rowOff>
    </xdr:from>
    <xdr:to>
      <xdr:col>38</xdr:col>
      <xdr:colOff>270164</xdr:colOff>
      <xdr:row>31</xdr:row>
      <xdr:rowOff>56166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2762DB8-1D56-4CDF-B5D4-E7E55F480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74235" y="611148"/>
          <a:ext cx="11360729" cy="5350518"/>
        </a:xfrm>
        <a:prstGeom prst="rect">
          <a:avLst/>
        </a:prstGeom>
      </xdr:spPr>
    </xdr:pic>
    <xdr:clientData/>
  </xdr:twoCellAnchor>
  <xdr:twoCellAnchor>
    <xdr:from>
      <xdr:col>25</xdr:col>
      <xdr:colOff>570013</xdr:colOff>
      <xdr:row>108</xdr:row>
      <xdr:rowOff>138306</xdr:rowOff>
    </xdr:from>
    <xdr:to>
      <xdr:col>45</xdr:col>
      <xdr:colOff>485419</xdr:colOff>
      <xdr:row>149</xdr:row>
      <xdr:rowOff>191137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E3F532F-F821-470D-8093-A9DFCB290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55216</xdr:colOff>
      <xdr:row>108</xdr:row>
      <xdr:rowOff>117229</xdr:rowOff>
    </xdr:from>
    <xdr:to>
      <xdr:col>23</xdr:col>
      <xdr:colOff>33130</xdr:colOff>
      <xdr:row>150</xdr:row>
      <xdr:rowOff>99391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F612BA-D04B-4435-BCCE-6AA5102BB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66</xdr:row>
      <xdr:rowOff>0</xdr:rowOff>
    </xdr:from>
    <xdr:to>
      <xdr:col>8</xdr:col>
      <xdr:colOff>304800</xdr:colOff>
      <xdr:row>81</xdr:row>
      <xdr:rowOff>41564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454BF59-4F06-48F6-A66C-B850E6483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304800</xdr:colOff>
      <xdr:row>97</xdr:row>
      <xdr:rowOff>41563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02E5EED-B69D-4558-B06A-CE9BCC88F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81</xdr:row>
      <xdr:rowOff>41564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19382F8-3686-4EA9-9EF4-F39C4FA9F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82</xdr:row>
      <xdr:rowOff>0</xdr:rowOff>
    </xdr:from>
    <xdr:to>
      <xdr:col>16</xdr:col>
      <xdr:colOff>304800</xdr:colOff>
      <xdr:row>97</xdr:row>
      <xdr:rowOff>41563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3F82DED-F8B4-4ED3-9EDE-3EB27AA84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91440</xdr:rowOff>
    </xdr:from>
    <xdr:to>
      <xdr:col>17</xdr:col>
      <xdr:colOff>205740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EFEB4-315F-481A-804B-54CA634C7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207818</xdr:colOff>
      <xdr:row>27</xdr:row>
      <xdr:rowOff>27710</xdr:rowOff>
    </xdr:from>
    <xdr:to>
      <xdr:col>17</xdr:col>
      <xdr:colOff>263236</xdr:colOff>
      <xdr:row>50</xdr:row>
      <xdr:rowOff>13854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91FF7F-0D71-475D-8CCF-A002FDEC3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30</xdr:col>
      <xdr:colOff>401782</xdr:colOff>
      <xdr:row>19</xdr:row>
      <xdr:rowOff>110836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9B1CBD-D10E-4F0C-BDC1-3AFF5BC3A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21</xdr:row>
      <xdr:rowOff>-1</xdr:rowOff>
    </xdr:from>
    <xdr:to>
      <xdr:col>30</xdr:col>
      <xdr:colOff>443345</xdr:colOff>
      <xdr:row>49</xdr:row>
      <xdr:rowOff>166255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F06BE2-ABB0-4AD6-9F6B-C04089CC5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609599</xdr:colOff>
      <xdr:row>51</xdr:row>
      <xdr:rowOff>-1</xdr:rowOff>
    </xdr:from>
    <xdr:to>
      <xdr:col>17</xdr:col>
      <xdr:colOff>221672</xdr:colOff>
      <xdr:row>76</xdr:row>
      <xdr:rowOff>55417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CE5DDF-9850-487E-A9E5-A997752D9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31</xdr:col>
      <xdr:colOff>83127</xdr:colOff>
      <xdr:row>2</xdr:row>
      <xdr:rowOff>69273</xdr:rowOff>
    </xdr:from>
    <xdr:to>
      <xdr:col>45</xdr:col>
      <xdr:colOff>443347</xdr:colOff>
      <xdr:row>25</xdr:row>
      <xdr:rowOff>115828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341B9F-1F37-42E2-B4C6-FEE9682E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80727" y="429491"/>
          <a:ext cx="8894620" cy="4189064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45</xdr:col>
      <xdr:colOff>168623</xdr:colOff>
      <xdr:row>49</xdr:row>
      <xdr:rowOff>97829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7FDCB8-15B1-4413-B250-56BCAA0F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97600" y="4862945"/>
          <a:ext cx="8703023" cy="40602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395844</xdr:colOff>
      <xdr:row>0</xdr:row>
      <xdr:rowOff>167244</xdr:rowOff>
    </xdr:from>
    <xdr:to>
      <xdr:col>20</xdr:col>
      <xdr:colOff>59376</xdr:colOff>
      <xdr:row>16</xdr:row>
      <xdr:rowOff>60366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A53752-947E-4999-A2C9-06A245BDE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197922</xdr:colOff>
      <xdr:row>0</xdr:row>
      <xdr:rowOff>167244</xdr:rowOff>
    </xdr:from>
    <xdr:to>
      <xdr:col>27</xdr:col>
      <xdr:colOff>475013</xdr:colOff>
      <xdr:row>16</xdr:row>
      <xdr:rowOff>60366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C1D5DC-B615-465A-A152-FE7581D47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415636</xdr:colOff>
      <xdr:row>16</xdr:row>
      <xdr:rowOff>147452</xdr:rowOff>
    </xdr:from>
    <xdr:to>
      <xdr:col>20</xdr:col>
      <xdr:colOff>79168</xdr:colOff>
      <xdr:row>32</xdr:row>
      <xdr:rowOff>40574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04A5EA1-AC4C-4B2A-B270-E3DD8F28C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188025</xdr:colOff>
      <xdr:row>16</xdr:row>
      <xdr:rowOff>157348</xdr:rowOff>
    </xdr:from>
    <xdr:to>
      <xdr:col>27</xdr:col>
      <xdr:colOff>465116</xdr:colOff>
      <xdr:row>32</xdr:row>
      <xdr:rowOff>50470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FC97FC-E53A-42FA-884A-77043AE34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258304</xdr:colOff>
      <xdr:row>32</xdr:row>
      <xdr:rowOff>142068</xdr:rowOff>
    </xdr:from>
    <xdr:to>
      <xdr:col>22</xdr:col>
      <xdr:colOff>109779</xdr:colOff>
      <xdr:row>53</xdr:row>
      <xdr:rowOff>112363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3EB922-0D98-4DEB-A2E5-C76EF1F26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264761</xdr:colOff>
      <xdr:row>54</xdr:row>
      <xdr:rowOff>158858</xdr:rowOff>
    </xdr:from>
    <xdr:to>
      <xdr:col>22</xdr:col>
      <xdr:colOff>154982</xdr:colOff>
      <xdr:row>76</xdr:row>
      <xdr:rowOff>51661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480AFE-242C-4708-B024-EC9D8B93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5</xdr:row>
      <xdr:rowOff>53340</xdr:rowOff>
    </xdr:from>
    <xdr:to>
      <xdr:col>11</xdr:col>
      <xdr:colOff>30480</xdr:colOff>
      <xdr:row>20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175487-0D73-4101-A0C7-C00492F13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5</xdr:row>
      <xdr:rowOff>60960</xdr:rowOff>
    </xdr:from>
    <xdr:to>
      <xdr:col>17</xdr:col>
      <xdr:colOff>586740</xdr:colOff>
      <xdr:row>20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391131-8258-4110-BEBE-9984FFC4C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144780</xdr:colOff>
      <xdr:row>20</xdr:row>
      <xdr:rowOff>114300</xdr:rowOff>
    </xdr:from>
    <xdr:to>
      <xdr:col>11</xdr:col>
      <xdr:colOff>38100</xdr:colOff>
      <xdr:row>35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9E184B-EB5E-4A0B-810A-A7BE2F27F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99060</xdr:colOff>
      <xdr:row>20</xdr:row>
      <xdr:rowOff>129540</xdr:rowOff>
    </xdr:from>
    <xdr:to>
      <xdr:col>17</xdr:col>
      <xdr:colOff>579120</xdr:colOff>
      <xdr:row>35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D9485F-9CB2-41AF-A77C-58A527C08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137160</xdr:colOff>
      <xdr:row>36</xdr:row>
      <xdr:rowOff>60960</xdr:rowOff>
    </xdr:from>
    <xdr:to>
      <xdr:col>11</xdr:col>
      <xdr:colOff>30480</xdr:colOff>
      <xdr:row>51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783571-2CA3-4760-88A8-F79AE9025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266700</xdr:colOff>
      <xdr:row>36</xdr:row>
      <xdr:rowOff>15240</xdr:rowOff>
    </xdr:from>
    <xdr:to>
      <xdr:col>18</xdr:col>
      <xdr:colOff>137160</xdr:colOff>
      <xdr:row>51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0C8D62-4F7A-47EE-A404-BD42E26EA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11</xdr:row>
      <xdr:rowOff>106680</xdr:rowOff>
    </xdr:from>
    <xdr:to>
      <xdr:col>14</xdr:col>
      <xdr:colOff>159774</xdr:colOff>
      <xdr:row>39</xdr:row>
      <xdr:rowOff>147484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BC19A-E2F8-4165-9B23-4E3325442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320899</xdr:colOff>
      <xdr:row>9</xdr:row>
      <xdr:rowOff>155376</xdr:rowOff>
    </xdr:from>
    <xdr:to>
      <xdr:col>34</xdr:col>
      <xdr:colOff>566973</xdr:colOff>
      <xdr:row>41</xdr:row>
      <xdr:rowOff>22037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BD929F-C71F-4874-8509-FCBE7A393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393290</xdr:colOff>
      <xdr:row>41</xdr:row>
      <xdr:rowOff>86034</xdr:rowOff>
    </xdr:from>
    <xdr:to>
      <xdr:col>14</xdr:col>
      <xdr:colOff>516193</xdr:colOff>
      <xdr:row>63</xdr:row>
      <xdr:rowOff>122903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D85023-A74B-4ACF-8B00-7D26AA3CF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290" y="7644582"/>
          <a:ext cx="8726129" cy="4092676"/>
        </a:xfrm>
        <a:prstGeom prst="rect">
          <a:avLst/>
        </a:prstGeom>
      </xdr:spPr>
    </xdr:pic>
    <xdr:clientData/>
  </xdr:twoCellAnchor>
  <xdr:twoCellAnchor editAs="oneCell">
    <xdr:from>
      <xdr:col>15</xdr:col>
      <xdr:colOff>589936</xdr:colOff>
      <xdr:row>42</xdr:row>
      <xdr:rowOff>98323</xdr:rowOff>
    </xdr:from>
    <xdr:to>
      <xdr:col>22</xdr:col>
      <xdr:colOff>585136</xdr:colOff>
      <xdr:row>63</xdr:row>
      <xdr:rowOff>29581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20F10D-FA5A-4367-97B4-462127FCC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67452" y="7841226"/>
          <a:ext cx="8087032" cy="3802710"/>
        </a:xfrm>
        <a:prstGeom prst="rect">
          <a:avLst/>
        </a:prstGeom>
      </xdr:spPr>
    </xdr:pic>
    <xdr:clientData/>
  </xdr:twoCellAnchor>
  <xdr:twoCellAnchor>
    <xdr:from>
      <xdr:col>0</xdr:col>
      <xdr:colOff>873606</xdr:colOff>
      <xdr:row>65</xdr:row>
      <xdr:rowOff>115454</xdr:rowOff>
    </xdr:from>
    <xdr:to>
      <xdr:col>14</xdr:col>
      <xdr:colOff>457970</xdr:colOff>
      <xdr:row>82</xdr:row>
      <xdr:rowOff>124691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7C842A9-FDDF-412C-B058-0FE001540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150091</xdr:colOff>
      <xdr:row>65</xdr:row>
      <xdr:rowOff>46182</xdr:rowOff>
    </xdr:from>
    <xdr:to>
      <xdr:col>21</xdr:col>
      <xdr:colOff>1639455</xdr:colOff>
      <xdr:row>81</xdr:row>
      <xdr:rowOff>23091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E2E151F-4460-4AE7-BC1E-633A8A56B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822960</xdr:colOff>
      <xdr:row>86</xdr:row>
      <xdr:rowOff>152401</xdr:rowOff>
    </xdr:from>
    <xdr:to>
      <xdr:col>14</xdr:col>
      <xdr:colOff>533399</xdr:colOff>
      <xdr:row>106</xdr:row>
      <xdr:rowOff>163289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AA77F4-E146-4124-A744-880743339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 av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A9" workbookViewId="0">
      <selection activeCell="I14" sqref="I14:J16"/>
    </sheetView>
  </sheetViews>
  <sheetFormatPr defaultColWidth="14.44140625" defaultRowHeight="15" customHeight="1"/>
  <cols>
    <col min="1" max="1" width="44.5546875" style="198" customWidth="1"/>
    <col min="2" max="2" width="14" style="198" customWidth="1"/>
    <col min="3" max="3" width="12.33203125" style="198" customWidth="1"/>
    <col min="4" max="4" width="14" style="198" customWidth="1"/>
    <col min="5" max="6" width="12.33203125" style="198" customWidth="1"/>
    <col min="7" max="8" width="8.6640625" style="198" customWidth="1"/>
    <col min="9" max="9" width="18.44140625" style="198" customWidth="1"/>
    <col min="10" max="13" width="8.6640625" style="198" customWidth="1"/>
    <col min="14" max="14" width="11" style="198" customWidth="1"/>
    <col min="15" max="26" width="8.6640625" style="198" customWidth="1"/>
    <col min="27" max="16384" width="14.44140625" style="198"/>
  </cols>
  <sheetData>
    <row r="1" spans="1:10" ht="14.4">
      <c r="A1" s="197" t="s">
        <v>0</v>
      </c>
      <c r="B1" s="197">
        <v>2021</v>
      </c>
      <c r="C1" s="197">
        <v>2020</v>
      </c>
      <c r="D1" s="197">
        <v>2019</v>
      </c>
      <c r="E1" s="197">
        <v>2018</v>
      </c>
      <c r="F1" s="197">
        <v>2017</v>
      </c>
    </row>
    <row r="2" spans="1:10" ht="14.4">
      <c r="A2" s="197"/>
    </row>
    <row r="3" spans="1:10" ht="14.4">
      <c r="A3" s="197" t="s">
        <v>1</v>
      </c>
    </row>
    <row r="4" spans="1:10" ht="14.4">
      <c r="A4" s="197" t="s">
        <v>2</v>
      </c>
      <c r="B4" s="194">
        <v>89432245</v>
      </c>
      <c r="C4" s="194">
        <v>73651718</v>
      </c>
      <c r="D4" s="194">
        <v>63039290</v>
      </c>
      <c r="E4" s="194">
        <v>49187645</v>
      </c>
      <c r="F4" s="194">
        <v>44239325</v>
      </c>
    </row>
    <row r="5" spans="1:10" ht="14.4">
      <c r="A5" s="197" t="s">
        <v>3</v>
      </c>
      <c r="B5" s="199">
        <v>3556215</v>
      </c>
      <c r="C5" s="199">
        <v>8196147</v>
      </c>
      <c r="D5" s="199">
        <v>7886702</v>
      </c>
      <c r="E5" s="199">
        <v>4093402</v>
      </c>
      <c r="F5" s="199">
        <v>3193835</v>
      </c>
    </row>
    <row r="6" spans="1:10" ht="14.4">
      <c r="A6" s="197" t="s">
        <v>4</v>
      </c>
      <c r="B6" s="200" t="s">
        <v>5</v>
      </c>
      <c r="C6" s="200" t="s">
        <v>5</v>
      </c>
      <c r="D6" s="194">
        <v>20405972</v>
      </c>
      <c r="E6" s="200" t="s">
        <v>5</v>
      </c>
      <c r="F6" s="194">
        <v>2250000</v>
      </c>
    </row>
    <row r="7" spans="1:10" ht="14.4">
      <c r="A7" s="197" t="s">
        <v>6</v>
      </c>
      <c r="B7" s="194">
        <v>616231172</v>
      </c>
      <c r="C7" s="194">
        <v>449611987</v>
      </c>
      <c r="D7" s="194">
        <v>305435633</v>
      </c>
      <c r="E7" s="199">
        <v>260233987</v>
      </c>
      <c r="F7" s="194">
        <v>314956748</v>
      </c>
    </row>
    <row r="8" spans="1:10" ht="14.4">
      <c r="A8" s="197" t="s">
        <v>7</v>
      </c>
      <c r="B8" s="194">
        <v>477673022</v>
      </c>
      <c r="C8" s="194">
        <v>395416055</v>
      </c>
      <c r="D8" s="194">
        <v>372913863</v>
      </c>
      <c r="E8" s="194">
        <v>343107147</v>
      </c>
      <c r="F8" s="194">
        <v>258693086</v>
      </c>
    </row>
    <row r="9" spans="1:10" ht="14.4">
      <c r="A9" s="197" t="s">
        <v>8</v>
      </c>
      <c r="B9" s="194">
        <v>20179222</v>
      </c>
      <c r="C9" s="194">
        <v>21232750</v>
      </c>
      <c r="D9" s="194">
        <v>19696568</v>
      </c>
      <c r="E9" s="194">
        <v>12791827</v>
      </c>
      <c r="F9" s="194">
        <v>9885958</v>
      </c>
    </row>
    <row r="10" spans="1:10" ht="14.4">
      <c r="A10" s="197" t="s">
        <v>9</v>
      </c>
      <c r="B10" s="194">
        <v>1188985</v>
      </c>
      <c r="C10" s="194">
        <v>1158857</v>
      </c>
      <c r="D10" s="194">
        <v>808994</v>
      </c>
      <c r="E10" s="194">
        <v>741361</v>
      </c>
      <c r="F10" s="194">
        <v>842869</v>
      </c>
    </row>
    <row r="11" spans="1:10" ht="14.4">
      <c r="A11" s="197" t="s">
        <v>10</v>
      </c>
      <c r="B11" s="199">
        <v>5161697</v>
      </c>
      <c r="C11" s="199">
        <v>1597334</v>
      </c>
      <c r="D11" s="194">
        <v>2489752</v>
      </c>
      <c r="E11" s="194">
        <v>3773779</v>
      </c>
      <c r="F11" s="194">
        <v>100755</v>
      </c>
    </row>
    <row r="12" spans="1:10" ht="14.4">
      <c r="A12" s="197" t="s">
        <v>11</v>
      </c>
      <c r="B12" s="194">
        <v>45906052</v>
      </c>
      <c r="C12" s="194">
        <v>42021813</v>
      </c>
      <c r="D12" s="194">
        <v>40450512</v>
      </c>
      <c r="E12" s="194">
        <v>32522174</v>
      </c>
      <c r="F12" s="194">
        <v>28448099</v>
      </c>
    </row>
    <row r="13" spans="1:10" ht="14.4">
      <c r="A13" s="197"/>
      <c r="D13" s="194">
        <v>833208006</v>
      </c>
      <c r="E13" s="194">
        <v>706451322</v>
      </c>
      <c r="F13" s="194">
        <v>662610675</v>
      </c>
    </row>
    <row r="14" spans="1:10" ht="14.4">
      <c r="A14" s="197" t="s">
        <v>12</v>
      </c>
      <c r="D14" s="198">
        <v>315741</v>
      </c>
      <c r="E14" s="194">
        <v>214757</v>
      </c>
      <c r="F14" s="194">
        <v>327949</v>
      </c>
      <c r="I14" s="201"/>
      <c r="J14" s="202"/>
    </row>
    <row r="15" spans="1:10" ht="14.4">
      <c r="A15" s="197"/>
    </row>
    <row r="16" spans="1:10" ht="14.4">
      <c r="A16" s="197"/>
      <c r="I16" s="203"/>
    </row>
    <row r="17" spans="1:14" ht="14.4">
      <c r="A17" s="204" t="s">
        <v>13</v>
      </c>
      <c r="B17" s="194">
        <v>1259328610</v>
      </c>
      <c r="C17" s="194">
        <v>992886661</v>
      </c>
      <c r="D17" s="205">
        <v>833443027</v>
      </c>
      <c r="E17" s="194">
        <v>706666079</v>
      </c>
      <c r="F17" s="194">
        <v>662938624</v>
      </c>
    </row>
    <row r="18" spans="1:14" ht="14.4">
      <c r="A18" s="197" t="s">
        <v>14</v>
      </c>
    </row>
    <row r="19" spans="1:14" ht="14.4">
      <c r="A19" s="197" t="s">
        <v>15</v>
      </c>
      <c r="B19" s="194">
        <v>10235374</v>
      </c>
      <c r="C19" s="194">
        <v>12629996</v>
      </c>
      <c r="D19" s="199">
        <v>15768947</v>
      </c>
      <c r="E19" s="199">
        <v>15512880</v>
      </c>
      <c r="F19" s="199">
        <v>10769262</v>
      </c>
    </row>
    <row r="20" spans="1:14" ht="14.4">
      <c r="A20" s="197" t="s">
        <v>16</v>
      </c>
      <c r="B20" s="194">
        <v>123563761</v>
      </c>
      <c r="C20" s="194">
        <v>84163669</v>
      </c>
      <c r="D20" s="194">
        <v>51187681</v>
      </c>
      <c r="E20" s="194">
        <v>52702323</v>
      </c>
      <c r="F20" s="194">
        <v>71587311</v>
      </c>
    </row>
    <row r="21" spans="1:14" ht="15.75" customHeight="1">
      <c r="A21" s="197" t="s">
        <v>17</v>
      </c>
      <c r="B21" s="194">
        <v>1015162254</v>
      </c>
      <c r="C21" s="194">
        <v>790982287</v>
      </c>
      <c r="D21" s="205">
        <v>679246312</v>
      </c>
      <c r="E21" s="194">
        <v>573596926</v>
      </c>
      <c r="F21" s="194">
        <v>525805051</v>
      </c>
    </row>
    <row r="22" spans="1:14" ht="15.75" customHeight="1">
      <c r="A22" s="197" t="s">
        <v>18</v>
      </c>
      <c r="B22" s="200" t="s">
        <v>5</v>
      </c>
      <c r="C22" s="200" t="s">
        <v>5</v>
      </c>
      <c r="D22" s="200" t="s">
        <v>5</v>
      </c>
      <c r="E22" s="200" t="s">
        <v>5</v>
      </c>
      <c r="F22" s="200" t="s">
        <v>5</v>
      </c>
    </row>
    <row r="23" spans="1:14" ht="15.75" customHeight="1">
      <c r="A23" s="197" t="s">
        <v>19</v>
      </c>
      <c r="B23" s="194">
        <v>12000000</v>
      </c>
      <c r="C23" s="194">
        <v>12000000</v>
      </c>
      <c r="D23" s="194">
        <v>9992000</v>
      </c>
      <c r="E23" s="199">
        <v>9993600</v>
      </c>
      <c r="F23" s="199">
        <v>4992800</v>
      </c>
    </row>
    <row r="24" spans="1:14" ht="15.75" customHeight="1">
      <c r="A24" s="197" t="s">
        <v>20</v>
      </c>
      <c r="B24" s="200" t="s">
        <v>5</v>
      </c>
      <c r="C24" s="200" t="s">
        <v>5</v>
      </c>
      <c r="D24" s="200" t="s">
        <v>5</v>
      </c>
      <c r="E24" s="200" t="s">
        <v>5</v>
      </c>
      <c r="F24" s="200" t="s">
        <v>5</v>
      </c>
    </row>
    <row r="25" spans="1:14" ht="15.75" customHeight="1">
      <c r="A25" s="197" t="s">
        <v>21</v>
      </c>
      <c r="B25" s="194">
        <v>42326358</v>
      </c>
      <c r="C25" s="194">
        <v>38429434</v>
      </c>
      <c r="D25" s="206">
        <v>34704048</v>
      </c>
      <c r="E25" s="199">
        <v>21178476</v>
      </c>
      <c r="F25" s="194">
        <v>17098223</v>
      </c>
    </row>
    <row r="26" spans="1:14" ht="15.75" customHeight="1">
      <c r="A26" s="204" t="s">
        <v>22</v>
      </c>
      <c r="B26" s="194">
        <v>1203287747</v>
      </c>
      <c r="C26" s="194">
        <v>938205386</v>
      </c>
      <c r="D26" s="194">
        <f>SUM(D19:D25)</f>
        <v>790898988</v>
      </c>
      <c r="E26" s="194">
        <v>672984205</v>
      </c>
      <c r="F26" s="194">
        <v>630252647</v>
      </c>
    </row>
    <row r="27" spans="1:14" ht="15.75" customHeight="1">
      <c r="A27" s="197" t="s">
        <v>23</v>
      </c>
      <c r="B27" s="200" t="s">
        <v>5</v>
      </c>
      <c r="C27" s="200" t="s">
        <v>5</v>
      </c>
      <c r="D27" s="198">
        <v>141856</v>
      </c>
      <c r="E27" s="199">
        <v>81513</v>
      </c>
      <c r="F27" s="199">
        <v>140741</v>
      </c>
    </row>
    <row r="28" spans="1:14" ht="15.75" customHeight="1">
      <c r="A28" s="197"/>
      <c r="D28" s="203">
        <f>SUM(D26:D27)</f>
        <v>791040844</v>
      </c>
      <c r="E28" s="199">
        <v>673065718</v>
      </c>
      <c r="F28" s="199">
        <v>630393388</v>
      </c>
      <c r="N28" s="194"/>
    </row>
    <row r="29" spans="1:14" ht="15.75" customHeight="1">
      <c r="A29" s="197" t="s">
        <v>24</v>
      </c>
      <c r="B29" s="194">
        <v>56040863</v>
      </c>
      <c r="C29" s="194">
        <v>54681275</v>
      </c>
      <c r="D29" s="205">
        <v>42402183</v>
      </c>
      <c r="E29" s="194">
        <v>33600361</v>
      </c>
      <c r="F29" s="194">
        <v>32545236</v>
      </c>
    </row>
    <row r="30" spans="1:14" ht="15.75" customHeight="1">
      <c r="A30" s="197" t="s">
        <v>25</v>
      </c>
    </row>
    <row r="31" spans="1:14" ht="15.75" customHeight="1">
      <c r="A31" s="197" t="s">
        <v>26</v>
      </c>
      <c r="B31" s="194">
        <v>12602602</v>
      </c>
      <c r="C31" s="194">
        <v>12602602</v>
      </c>
      <c r="D31" s="194">
        <v>12602602</v>
      </c>
      <c r="E31" s="194">
        <v>12602602</v>
      </c>
      <c r="F31" s="194">
        <v>12602602</v>
      </c>
    </row>
    <row r="32" spans="1:14" ht="15.75" customHeight="1">
      <c r="A32" s="197" t="s">
        <v>27</v>
      </c>
      <c r="B32" s="194">
        <v>32832051</v>
      </c>
      <c r="C32" s="194">
        <v>25701665</v>
      </c>
      <c r="D32" s="205">
        <v>19408889</v>
      </c>
      <c r="E32" s="194">
        <v>15588694</v>
      </c>
      <c r="F32" s="194">
        <v>12032263</v>
      </c>
    </row>
    <row r="33" spans="1:6" ht="15.75" customHeight="1">
      <c r="A33" s="197" t="s">
        <v>28</v>
      </c>
      <c r="B33" s="194">
        <v>1987976</v>
      </c>
      <c r="C33" s="194">
        <v>7670955</v>
      </c>
    </row>
    <row r="34" spans="1:6" ht="15.75" customHeight="1">
      <c r="A34" s="204" t="s">
        <v>29</v>
      </c>
      <c r="B34" s="194">
        <v>8618234</v>
      </c>
      <c r="C34" s="194">
        <v>8706053</v>
      </c>
      <c r="D34" s="194">
        <v>4300426</v>
      </c>
      <c r="E34" s="199">
        <v>1649197</v>
      </c>
      <c r="F34" s="199">
        <v>5142254</v>
      </c>
    </row>
    <row r="35" spans="1:6" ht="15.75" customHeight="1">
      <c r="A35" s="197" t="s">
        <v>30</v>
      </c>
      <c r="D35" s="194">
        <v>39467</v>
      </c>
      <c r="E35" s="199">
        <v>5723</v>
      </c>
      <c r="F35" s="199">
        <v>19877</v>
      </c>
    </row>
    <row r="36" spans="1:6" ht="15.75" customHeight="1">
      <c r="A36" s="197" t="s">
        <v>31</v>
      </c>
      <c r="D36" s="205">
        <v>6002253</v>
      </c>
      <c r="E36" s="194">
        <v>3710867</v>
      </c>
      <c r="F36" s="194">
        <v>2703887</v>
      </c>
    </row>
    <row r="37" spans="1:6" ht="15.75" customHeight="1">
      <c r="A37" s="197"/>
      <c r="D37" s="205">
        <v>42353637</v>
      </c>
      <c r="E37" s="194">
        <v>33557083</v>
      </c>
      <c r="F37" s="194">
        <v>32500883</v>
      </c>
    </row>
    <row r="38" spans="1:6" ht="15.75" customHeight="1">
      <c r="A38" s="197"/>
    </row>
    <row r="39" spans="1:6" ht="15.75" customHeight="1">
      <c r="A39" s="197" t="s">
        <v>32</v>
      </c>
      <c r="B39" s="200" t="s">
        <v>5</v>
      </c>
      <c r="C39" s="200" t="s">
        <v>5</v>
      </c>
      <c r="D39" s="194">
        <v>48546</v>
      </c>
      <c r="E39" s="194">
        <v>43278</v>
      </c>
      <c r="F39" s="194">
        <v>44353</v>
      </c>
    </row>
    <row r="40" spans="1:6" ht="15.75" customHeight="1">
      <c r="E40" s="194"/>
    </row>
    <row r="41" spans="1:6" ht="15.75" customHeight="1">
      <c r="A41" s="207" t="s">
        <v>33</v>
      </c>
      <c r="B41" s="194">
        <v>56040863</v>
      </c>
      <c r="C41" s="194">
        <v>54681275</v>
      </c>
      <c r="D41" s="194">
        <f>SUM(D37:D39)</f>
        <v>42402183</v>
      </c>
      <c r="E41" s="194">
        <v>33600361</v>
      </c>
      <c r="F41" s="194">
        <v>32545236</v>
      </c>
    </row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spans="4:4" ht="15.75" customHeight="1"/>
    <row r="114" spans="4:4" ht="15.75" customHeight="1"/>
    <row r="115" spans="4:4" ht="15.75" customHeight="1"/>
    <row r="116" spans="4:4" ht="15.75" customHeight="1"/>
    <row r="117" spans="4:4" ht="15.75" customHeight="1"/>
    <row r="118" spans="4:4" ht="15.75" customHeight="1"/>
    <row r="119" spans="4:4" ht="15.75" customHeight="1"/>
    <row r="120" spans="4:4" ht="15.75" customHeight="1"/>
    <row r="121" spans="4:4" ht="15.75" customHeight="1"/>
    <row r="122" spans="4:4" ht="15.75" customHeight="1"/>
    <row r="123" spans="4:4" ht="15.75" customHeight="1"/>
    <row r="124" spans="4:4" ht="15.75" customHeight="1"/>
    <row r="125" spans="4:4" ht="15.75" customHeight="1"/>
    <row r="126" spans="4:4" ht="15.75" customHeight="1"/>
    <row r="127" spans="4:4" ht="15.75" customHeight="1"/>
    <row r="128" spans="4:4" ht="15.75" customHeight="1">
      <c r="D128" s="200">
        <f>28736000000/B41</f>
        <v>512.76869165986966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A25" activeCellId="2" sqref="A3:F3 A13:F13 A25:F25"/>
    </sheetView>
  </sheetViews>
  <sheetFormatPr defaultColWidth="14.44140625" defaultRowHeight="15" customHeight="1"/>
  <cols>
    <col min="1" max="1" width="50.33203125" style="184" customWidth="1"/>
    <col min="2" max="4" width="12.33203125" style="184" customWidth="1"/>
    <col min="5" max="6" width="11.5546875" style="184" bestFit="1" customWidth="1"/>
    <col min="7" max="8" width="8.6640625" style="184" customWidth="1"/>
    <col min="9" max="9" width="15.109375" style="184" customWidth="1"/>
    <col min="10" max="26" width="8.6640625" style="184" customWidth="1"/>
    <col min="27" max="16384" width="14.44140625" style="184"/>
  </cols>
  <sheetData>
    <row r="1" spans="1:9" ht="14.4">
      <c r="A1" s="182" t="s">
        <v>0</v>
      </c>
      <c r="B1" s="182">
        <v>2021</v>
      </c>
      <c r="C1" s="182">
        <v>2020</v>
      </c>
      <c r="D1" s="182">
        <v>2019</v>
      </c>
      <c r="E1" s="182">
        <v>2018</v>
      </c>
      <c r="F1" s="182">
        <v>2017</v>
      </c>
    </row>
    <row r="2" spans="1:9" ht="14.4">
      <c r="A2" s="182"/>
      <c r="B2" s="183"/>
    </row>
    <row r="3" spans="1:9" ht="14.4">
      <c r="A3" s="182" t="s">
        <v>34</v>
      </c>
      <c r="B3" s="185" t="s">
        <v>35</v>
      </c>
      <c r="C3" s="185" t="s">
        <v>36</v>
      </c>
      <c r="D3" s="185">
        <v>71704373</v>
      </c>
      <c r="E3" s="186">
        <v>43669883</v>
      </c>
      <c r="F3" s="186">
        <v>36267220</v>
      </c>
    </row>
    <row r="4" spans="1:9" ht="14.4">
      <c r="A4" s="182" t="s">
        <v>37</v>
      </c>
      <c r="B4" s="187">
        <v>45139897</v>
      </c>
      <c r="C4" s="187">
        <v>48842539</v>
      </c>
      <c r="D4" s="188">
        <v>49567851</v>
      </c>
      <c r="E4" s="189">
        <v>25059925</v>
      </c>
      <c r="F4" s="187">
        <v>20071958</v>
      </c>
    </row>
    <row r="5" spans="1:9" ht="14.4">
      <c r="A5" s="182" t="s">
        <v>38</v>
      </c>
      <c r="B5" s="187">
        <v>32429546</v>
      </c>
      <c r="C5" s="187">
        <v>30275781</v>
      </c>
      <c r="D5" s="190">
        <v>22136522</v>
      </c>
      <c r="E5" s="187">
        <v>18609958</v>
      </c>
      <c r="F5" s="187">
        <v>16195262</v>
      </c>
    </row>
    <row r="6" spans="1:9" ht="14.4">
      <c r="A6" s="182" t="s">
        <v>39</v>
      </c>
    </row>
    <row r="7" spans="1:9" ht="14.4">
      <c r="A7" s="182" t="s">
        <v>40</v>
      </c>
      <c r="B7" s="187">
        <v>4785268</v>
      </c>
      <c r="C7" s="187">
        <v>3991285</v>
      </c>
      <c r="D7" s="190">
        <v>3616428</v>
      </c>
      <c r="E7" s="187">
        <v>3116070</v>
      </c>
      <c r="F7" s="187">
        <v>2706794</v>
      </c>
      <c r="I7" s="195"/>
    </row>
    <row r="8" spans="1:9" ht="14.4">
      <c r="A8" s="182" t="s">
        <v>41</v>
      </c>
      <c r="B8" s="189">
        <v>421964</v>
      </c>
      <c r="C8" s="189">
        <v>273524</v>
      </c>
      <c r="D8" s="187">
        <v>274440</v>
      </c>
      <c r="E8" s="187">
        <v>231312</v>
      </c>
      <c r="F8" s="187">
        <v>302894</v>
      </c>
    </row>
    <row r="9" spans="1:9" ht="14.4">
      <c r="A9" s="182" t="s">
        <v>42</v>
      </c>
      <c r="B9" s="187">
        <v>3123524</v>
      </c>
      <c r="C9" s="187">
        <v>2673493</v>
      </c>
      <c r="D9" s="187">
        <v>2507707</v>
      </c>
      <c r="E9" s="187">
        <v>1596027</v>
      </c>
      <c r="F9" s="187">
        <v>843032</v>
      </c>
    </row>
    <row r="10" spans="1:9" ht="14.4">
      <c r="A10" s="182" t="s">
        <v>43</v>
      </c>
      <c r="B10" s="191" t="s">
        <v>5</v>
      </c>
      <c r="C10" s="191" t="s">
        <v>5</v>
      </c>
      <c r="D10" s="191" t="s">
        <v>5</v>
      </c>
      <c r="E10" s="191" t="s">
        <v>5</v>
      </c>
      <c r="F10" s="191" t="s">
        <v>5</v>
      </c>
    </row>
    <row r="11" spans="1:9" ht="14.4">
      <c r="A11" s="182" t="s">
        <v>44</v>
      </c>
      <c r="B11" s="194">
        <v>814724</v>
      </c>
      <c r="C11" s="194">
        <v>2555400</v>
      </c>
      <c r="D11" s="194">
        <v>739351</v>
      </c>
      <c r="E11" s="194">
        <v>260103</v>
      </c>
      <c r="F11" s="194">
        <v>2063043</v>
      </c>
    </row>
    <row r="12" spans="1:9" ht="14.4">
      <c r="A12" s="182" t="s">
        <v>45</v>
      </c>
      <c r="B12" s="187">
        <v>402118</v>
      </c>
      <c r="C12" s="187">
        <v>349438</v>
      </c>
      <c r="D12" s="187">
        <v>266102</v>
      </c>
      <c r="E12" s="187">
        <v>418081</v>
      </c>
      <c r="F12" s="187">
        <v>200341</v>
      </c>
    </row>
    <row r="13" spans="1:9" ht="14.4">
      <c r="A13" s="182" t="s">
        <v>46</v>
      </c>
      <c r="B13" s="187">
        <v>9547598</v>
      </c>
      <c r="C13" s="187">
        <v>9843140</v>
      </c>
      <c r="D13" s="190">
        <v>7404028</v>
      </c>
      <c r="E13" s="187">
        <v>5621593</v>
      </c>
      <c r="F13" s="187">
        <v>6116104</v>
      </c>
    </row>
    <row r="14" spans="1:9" ht="14.4">
      <c r="A14" s="182" t="s">
        <v>47</v>
      </c>
      <c r="B14" s="187">
        <v>41977144</v>
      </c>
      <c r="C14" s="187">
        <v>40118921</v>
      </c>
      <c r="D14" s="190">
        <v>29540550</v>
      </c>
      <c r="E14" s="187">
        <v>24231551</v>
      </c>
      <c r="F14" s="187">
        <v>22311366</v>
      </c>
    </row>
    <row r="15" spans="1:9" ht="14.4">
      <c r="A15" s="182" t="s">
        <v>48</v>
      </c>
    </row>
    <row r="16" spans="1:9" ht="14.4">
      <c r="A16" s="182" t="s">
        <v>49</v>
      </c>
      <c r="B16" s="187">
        <v>21017376</v>
      </c>
      <c r="C16" s="187">
        <v>20217974</v>
      </c>
      <c r="D16" s="190">
        <v>18235061</v>
      </c>
      <c r="E16" s="187">
        <v>16240514</v>
      </c>
      <c r="F16" s="187">
        <v>14948796</v>
      </c>
    </row>
    <row r="17" spans="1:9" ht="14.4">
      <c r="A17" s="182" t="s">
        <v>50</v>
      </c>
      <c r="B17" s="187">
        <v>213484</v>
      </c>
      <c r="C17" s="187">
        <v>42982</v>
      </c>
      <c r="D17" s="187">
        <v>42117</v>
      </c>
      <c r="E17" s="189">
        <v>-540060</v>
      </c>
      <c r="F17" s="187">
        <v>169833</v>
      </c>
      <c r="I17" s="195"/>
    </row>
    <row r="18" spans="1:9" ht="14.4">
      <c r="A18" s="182" t="s">
        <v>51</v>
      </c>
      <c r="B18" s="189">
        <v>90139</v>
      </c>
      <c r="C18" s="189">
        <v>48149</v>
      </c>
      <c r="D18" s="189">
        <v>99947</v>
      </c>
      <c r="E18" s="189">
        <v>191067</v>
      </c>
      <c r="F18" s="189">
        <v>23568</v>
      </c>
    </row>
    <row r="19" spans="1:9" ht="14.4">
      <c r="B19" s="187">
        <v>21320999</v>
      </c>
      <c r="C19" s="187">
        <v>20309105</v>
      </c>
      <c r="D19" s="190">
        <v>18377125</v>
      </c>
      <c r="E19" s="187">
        <v>15891521</v>
      </c>
      <c r="F19" s="187">
        <v>15142197</v>
      </c>
    </row>
    <row r="20" spans="1:9" ht="14.4">
      <c r="A20" s="182" t="s">
        <v>52</v>
      </c>
      <c r="B20" s="187">
        <v>20656145</v>
      </c>
      <c r="C20" s="187">
        <v>19809816</v>
      </c>
      <c r="D20" s="190">
        <v>11163425</v>
      </c>
      <c r="E20" s="187">
        <v>8340030</v>
      </c>
      <c r="F20" s="187">
        <v>7169169</v>
      </c>
    </row>
    <row r="21" spans="1:9" ht="15.75" customHeight="1">
      <c r="A21" s="182" t="s">
        <v>53</v>
      </c>
      <c r="B21" s="187">
        <v>4983944</v>
      </c>
      <c r="C21" s="187">
        <v>1974747</v>
      </c>
      <c r="D21" s="189">
        <v>773275</v>
      </c>
      <c r="E21" s="189">
        <v>1460575</v>
      </c>
      <c r="F21" s="189">
        <v>-1176432</v>
      </c>
    </row>
    <row r="22" spans="1:9" ht="15.75" customHeight="1">
      <c r="A22" s="182" t="s">
        <v>54</v>
      </c>
      <c r="B22" s="191" t="s">
        <v>5</v>
      </c>
      <c r="C22" s="191" t="s">
        <v>5</v>
      </c>
      <c r="D22" s="192" t="s">
        <v>5</v>
      </c>
      <c r="E22" s="192" t="s">
        <v>5</v>
      </c>
      <c r="F22" s="192" t="s">
        <v>5</v>
      </c>
    </row>
    <row r="23" spans="1:9" ht="15.75" customHeight="1">
      <c r="A23" s="182" t="s">
        <v>55</v>
      </c>
      <c r="B23" s="187">
        <v>15672201</v>
      </c>
      <c r="C23" s="187">
        <v>17835069</v>
      </c>
      <c r="D23" s="190">
        <v>10390150</v>
      </c>
      <c r="E23" s="187">
        <v>6879455</v>
      </c>
      <c r="F23" s="187">
        <v>8345601</v>
      </c>
    </row>
    <row r="24" spans="1:9" ht="15.75" customHeight="1">
      <c r="A24" s="182" t="s">
        <v>56</v>
      </c>
      <c r="B24" s="187">
        <v>-5956468</v>
      </c>
      <c r="C24" s="187">
        <v>-6978072</v>
      </c>
      <c r="D24" s="187">
        <v>3372249</v>
      </c>
      <c r="E24" s="187">
        <v>-2448177</v>
      </c>
      <c r="F24" s="187">
        <v>-3223915</v>
      </c>
    </row>
    <row r="25" spans="1:9" ht="15.75" customHeight="1">
      <c r="A25" s="182" t="s">
        <v>57</v>
      </c>
      <c r="B25" s="187">
        <v>9715733</v>
      </c>
      <c r="C25" s="187">
        <v>10856997</v>
      </c>
      <c r="D25" s="190">
        <v>7017901</v>
      </c>
      <c r="E25" s="187">
        <v>4431278</v>
      </c>
      <c r="F25" s="187">
        <v>5121686</v>
      </c>
    </row>
    <row r="26" spans="1:9" ht="15.75" customHeight="1">
      <c r="A26" s="182" t="s">
        <v>58</v>
      </c>
      <c r="D26" s="193">
        <v>14669</v>
      </c>
      <c r="E26" s="189">
        <v>-2659</v>
      </c>
      <c r="F26" s="189">
        <v>6611</v>
      </c>
    </row>
    <row r="27" spans="1:9" ht="15.75" customHeight="1">
      <c r="A27" s="182" t="s">
        <v>59</v>
      </c>
    </row>
    <row r="28" spans="1:9" ht="15.75" customHeight="1">
      <c r="A28" s="182" t="s">
        <v>60</v>
      </c>
      <c r="B28" s="187">
        <v>9715733</v>
      </c>
      <c r="C28" s="187">
        <v>10846333</v>
      </c>
      <c r="D28" s="190">
        <v>7028756</v>
      </c>
      <c r="E28" s="187">
        <v>4429310</v>
      </c>
      <c r="F28" s="187">
        <v>5121863</v>
      </c>
    </row>
    <row r="29" spans="1:9" ht="15.75" customHeight="1">
      <c r="A29" s="182" t="s">
        <v>32</v>
      </c>
      <c r="B29" s="191" t="s">
        <v>5</v>
      </c>
      <c r="C29" s="189">
        <v>10664</v>
      </c>
      <c r="D29" s="189">
        <v>3814</v>
      </c>
      <c r="E29" s="192">
        <v>-691</v>
      </c>
      <c r="F29" s="189">
        <v>6434</v>
      </c>
    </row>
    <row r="30" spans="1:9" ht="15.75" customHeight="1">
      <c r="A30" s="182"/>
      <c r="B30" s="187">
        <v>9715733</v>
      </c>
      <c r="C30" s="187">
        <v>10856997</v>
      </c>
      <c r="D30" s="189">
        <f>SUM(D28:D29)</f>
        <v>7032570</v>
      </c>
      <c r="E30" s="189">
        <v>4428619</v>
      </c>
      <c r="F30" s="187">
        <v>5128297</v>
      </c>
    </row>
    <row r="31" spans="1:9" ht="15.75" customHeight="1">
      <c r="A31" s="182"/>
    </row>
    <row r="32" spans="1:9" ht="15.75" customHeight="1">
      <c r="A32" s="182" t="s">
        <v>61</v>
      </c>
      <c r="B32" s="191">
        <v>7.71</v>
      </c>
      <c r="C32" s="192">
        <v>8.61</v>
      </c>
      <c r="D32" s="196">
        <v>5.58</v>
      </c>
      <c r="E32" s="191">
        <v>3.51</v>
      </c>
      <c r="F32" s="191">
        <v>4.0599999999999996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42"/>
  <sheetViews>
    <sheetView topLeftCell="A7" zoomScale="60" zoomScaleNormal="60" workbookViewId="0">
      <pane xSplit="1" topLeftCell="C1" activePane="topRight" state="frozen"/>
      <selection pane="topRight" activeCell="I35" sqref="I35"/>
    </sheetView>
  </sheetViews>
  <sheetFormatPr defaultColWidth="14.44140625" defaultRowHeight="15" customHeight="1"/>
  <cols>
    <col min="1" max="1" width="11.44140625" customWidth="1"/>
    <col min="2" max="2" width="71.44140625" customWidth="1"/>
    <col min="3" max="4" width="20.6640625" bestFit="1" customWidth="1"/>
    <col min="5" max="6" width="19.88671875" bestFit="1" customWidth="1"/>
    <col min="7" max="7" width="20.33203125" bestFit="1" customWidth="1"/>
    <col min="9" max="9" width="42.33203125" bestFit="1" customWidth="1"/>
  </cols>
  <sheetData>
    <row r="1" spans="1:14" ht="14.4">
      <c r="C1" s="1">
        <v>2021</v>
      </c>
      <c r="D1" s="1">
        <v>2020</v>
      </c>
      <c r="E1" s="1">
        <v>2019</v>
      </c>
      <c r="F1" s="1">
        <v>2018</v>
      </c>
      <c r="G1" s="1">
        <v>2017</v>
      </c>
    </row>
    <row r="13" spans="1:14" ht="14.4">
      <c r="A13" s="5"/>
      <c r="B13" s="5" t="s">
        <v>62</v>
      </c>
    </row>
    <row r="14" spans="1:14" ht="16.2">
      <c r="A14" s="5"/>
      <c r="B14" s="5" t="s">
        <v>63</v>
      </c>
      <c r="C14" s="6">
        <v>477673022</v>
      </c>
      <c r="D14" s="7">
        <v>395416055</v>
      </c>
      <c r="E14" s="6">
        <v>372913863</v>
      </c>
      <c r="F14" s="11">
        <v>343107147</v>
      </c>
      <c r="G14" s="6">
        <v>258693086</v>
      </c>
      <c r="I14" s="182"/>
      <c r="J14" s="217"/>
      <c r="K14" s="213"/>
      <c r="L14" s="214"/>
      <c r="M14" s="215"/>
      <c r="N14" s="215"/>
    </row>
    <row r="15" spans="1:14" ht="14.4">
      <c r="A15" s="5"/>
      <c r="B15" s="5" t="s">
        <v>6</v>
      </c>
      <c r="C15" s="6">
        <v>616231172</v>
      </c>
      <c r="D15" s="6">
        <v>449611987</v>
      </c>
      <c r="E15" s="6">
        <v>305435633</v>
      </c>
      <c r="F15" s="6">
        <v>260233987</v>
      </c>
      <c r="G15" s="6">
        <v>314956748</v>
      </c>
      <c r="I15" s="182"/>
      <c r="J15" s="215"/>
      <c r="K15" s="215"/>
      <c r="L15" s="216"/>
      <c r="M15" s="215"/>
      <c r="N15" s="215"/>
    </row>
    <row r="16" spans="1:14" ht="14.4">
      <c r="A16" s="5"/>
      <c r="B16" s="5" t="s">
        <v>64</v>
      </c>
      <c r="C16" s="5">
        <v>0</v>
      </c>
      <c r="D16" s="5">
        <v>0</v>
      </c>
      <c r="E16" s="6">
        <v>20405972</v>
      </c>
      <c r="F16" s="5">
        <v>0</v>
      </c>
      <c r="G16" s="6">
        <v>2250000</v>
      </c>
      <c r="I16" s="182"/>
    </row>
    <row r="17" spans="1:14" ht="16.2">
      <c r="A17" s="5"/>
      <c r="B17" s="5" t="s">
        <v>65</v>
      </c>
      <c r="C17" s="6">
        <v>3556215</v>
      </c>
      <c r="D17" s="12">
        <v>8196147</v>
      </c>
      <c r="E17" s="6">
        <v>7886702</v>
      </c>
      <c r="F17" s="11">
        <v>4093402</v>
      </c>
      <c r="G17" s="6">
        <v>3193835</v>
      </c>
      <c r="J17">
        <v>2021</v>
      </c>
      <c r="K17">
        <v>2020</v>
      </c>
      <c r="L17">
        <v>2019</v>
      </c>
      <c r="M17">
        <v>2018</v>
      </c>
      <c r="N17">
        <v>2017</v>
      </c>
    </row>
    <row r="18" spans="1:14" ht="14.4">
      <c r="A18" s="13"/>
      <c r="B18" s="13" t="s">
        <v>66</v>
      </c>
      <c r="C18" s="7">
        <f t="shared" ref="C18:G18" si="0">SUM(C14:C17)</f>
        <v>1097460409</v>
      </c>
      <c r="D18" s="7">
        <f t="shared" si="0"/>
        <v>853224189</v>
      </c>
      <c r="E18" s="7">
        <f t="shared" si="0"/>
        <v>706642170</v>
      </c>
      <c r="F18" s="7">
        <f t="shared" si="0"/>
        <v>607434536</v>
      </c>
      <c r="G18" s="7">
        <f t="shared" si="0"/>
        <v>579093669</v>
      </c>
      <c r="I18" s="182" t="s">
        <v>34</v>
      </c>
      <c r="J18" s="182">
        <v>77569443</v>
      </c>
      <c r="K18">
        <v>79118320</v>
      </c>
      <c r="L18">
        <v>71704373</v>
      </c>
      <c r="M18">
        <v>43669883</v>
      </c>
      <c r="N18">
        <v>36267220</v>
      </c>
    </row>
    <row r="19" spans="1:14" ht="15" customHeight="1">
      <c r="I19" s="182" t="s">
        <v>46</v>
      </c>
      <c r="J19" s="182">
        <v>9547598</v>
      </c>
      <c r="K19">
        <v>9843140</v>
      </c>
      <c r="L19">
        <v>7404028</v>
      </c>
      <c r="M19">
        <v>5621593</v>
      </c>
      <c r="N19">
        <v>6116104</v>
      </c>
    </row>
    <row r="20" spans="1:14" ht="14.4">
      <c r="A20" s="5"/>
      <c r="B20" s="5" t="s">
        <v>67</v>
      </c>
      <c r="I20" s="182" t="s">
        <v>57</v>
      </c>
      <c r="J20" s="182">
        <v>9715733</v>
      </c>
      <c r="K20">
        <v>10856997</v>
      </c>
      <c r="L20">
        <v>7017901</v>
      </c>
      <c r="M20">
        <v>4431278</v>
      </c>
      <c r="N20">
        <v>5121686</v>
      </c>
    </row>
    <row r="21" spans="1:14" ht="14.4">
      <c r="A21" s="5"/>
      <c r="B21" s="5" t="s">
        <v>68</v>
      </c>
      <c r="C21" s="7">
        <v>222888771</v>
      </c>
      <c r="D21" s="7">
        <v>539726821</v>
      </c>
      <c r="E21" s="7">
        <v>484456138</v>
      </c>
      <c r="F21" s="7">
        <v>404040078</v>
      </c>
      <c r="G21" s="7">
        <v>381975947</v>
      </c>
    </row>
    <row r="22" spans="1:14" ht="14.4">
      <c r="A22" s="5"/>
      <c r="B22" s="5" t="s">
        <v>69</v>
      </c>
      <c r="C22" s="6">
        <v>790982287</v>
      </c>
      <c r="D22" s="6">
        <v>1030588</v>
      </c>
      <c r="E22" s="6">
        <v>194254257</v>
      </c>
      <c r="F22" s="6">
        <v>168745407</v>
      </c>
      <c r="G22" s="6">
        <v>143678468</v>
      </c>
    </row>
    <row r="23" spans="1:14" ht="14.4">
      <c r="A23" s="5"/>
      <c r="B23" s="5" t="s">
        <v>69</v>
      </c>
      <c r="C23" s="6">
        <v>1291196</v>
      </c>
      <c r="D23" s="6">
        <v>250224878</v>
      </c>
      <c r="E23" s="6">
        <v>535917</v>
      </c>
      <c r="F23" s="6">
        <v>811441</v>
      </c>
      <c r="G23" s="6">
        <v>150636</v>
      </c>
    </row>
    <row r="24" spans="1:14" ht="16.2">
      <c r="A24" s="5"/>
      <c r="B24" s="5" t="s">
        <v>16</v>
      </c>
      <c r="C24" s="6">
        <v>123563761</v>
      </c>
      <c r="D24" s="11">
        <v>84163669</v>
      </c>
      <c r="E24" s="6">
        <v>51187681</v>
      </c>
      <c r="F24" s="11">
        <v>52702323</v>
      </c>
      <c r="G24" s="6">
        <v>71587311</v>
      </c>
    </row>
    <row r="25" spans="1:14" ht="16.2">
      <c r="A25" s="5"/>
      <c r="B25" s="5" t="s">
        <v>70</v>
      </c>
      <c r="C25" s="6">
        <v>12000000</v>
      </c>
      <c r="D25" s="11">
        <v>12000000</v>
      </c>
      <c r="E25" s="6">
        <v>9992000</v>
      </c>
      <c r="F25" s="6">
        <v>9993600</v>
      </c>
      <c r="G25" s="14">
        <v>4992800</v>
      </c>
    </row>
    <row r="26" spans="1:14" ht="16.2">
      <c r="A26" s="5"/>
      <c r="B26" s="5" t="s">
        <v>71</v>
      </c>
      <c r="C26" s="6">
        <v>7393878</v>
      </c>
      <c r="D26" s="11">
        <v>8223995</v>
      </c>
      <c r="E26" s="6">
        <v>970082</v>
      </c>
      <c r="F26" s="5">
        <v>0</v>
      </c>
      <c r="G26" s="5">
        <v>0</v>
      </c>
    </row>
    <row r="27" spans="1:14" ht="14.4">
      <c r="A27" s="15"/>
      <c r="B27" s="15" t="s">
        <v>72</v>
      </c>
      <c r="C27" s="7">
        <f t="shared" ref="C27:G27" si="1">SUM(C21:C26)</f>
        <v>1158119893</v>
      </c>
      <c r="D27" s="7">
        <f t="shared" si="1"/>
        <v>895369951</v>
      </c>
      <c r="E27" s="7">
        <f t="shared" si="1"/>
        <v>741396075</v>
      </c>
      <c r="F27" s="7">
        <f t="shared" si="1"/>
        <v>636292849</v>
      </c>
      <c r="G27" s="7">
        <f t="shared" si="1"/>
        <v>602385162</v>
      </c>
    </row>
    <row r="28" spans="1:14" ht="27" customHeight="1"/>
    <row r="29" spans="1:14" ht="14.4">
      <c r="A29" s="5"/>
      <c r="B29" s="5" t="s">
        <v>73</v>
      </c>
      <c r="C29" s="7">
        <f>'Income Statement'!B25</f>
        <v>9715733</v>
      </c>
      <c r="D29" s="7">
        <f>'Income Statement'!C25</f>
        <v>10856997</v>
      </c>
      <c r="E29" s="7">
        <f>'Income Statement'!D25</f>
        <v>7017901</v>
      </c>
      <c r="F29" s="7">
        <f>'Income Statement'!E25</f>
        <v>4431278</v>
      </c>
      <c r="G29" s="7">
        <f>'Income Statement'!F25</f>
        <v>5121686</v>
      </c>
    </row>
    <row r="30" spans="1:14" ht="27" customHeight="1">
      <c r="A30" s="5"/>
      <c r="B30" s="5" t="s">
        <v>74</v>
      </c>
      <c r="C30" s="7">
        <f>'Balance Sheet'!B41</f>
        <v>56040863</v>
      </c>
      <c r="D30" s="7">
        <f>'Balance Sheet'!C41</f>
        <v>54681275</v>
      </c>
      <c r="E30" s="7">
        <f>'Balance Sheet'!D41</f>
        <v>42402183</v>
      </c>
      <c r="F30" s="7">
        <f>'Balance Sheet'!E41</f>
        <v>33600361</v>
      </c>
      <c r="G30" s="7">
        <f>'Balance Sheet'!F41</f>
        <v>32545236</v>
      </c>
    </row>
    <row r="31" spans="1:14" ht="27" customHeight="1">
      <c r="A31" s="5"/>
      <c r="B31" s="5" t="s">
        <v>13</v>
      </c>
      <c r="C31" s="7">
        <f>'Balance Sheet'!B17</f>
        <v>1259328610</v>
      </c>
      <c r="D31" s="7">
        <f>'Balance Sheet'!C17</f>
        <v>992886661</v>
      </c>
      <c r="E31" s="7">
        <f>'Balance Sheet'!D17</f>
        <v>833443027</v>
      </c>
      <c r="F31" s="7">
        <f>'Balance Sheet'!E17</f>
        <v>706666079</v>
      </c>
      <c r="G31" s="7">
        <f>'Balance Sheet'!F17</f>
        <v>662938624</v>
      </c>
    </row>
    <row r="32" spans="1:14" ht="27" customHeight="1">
      <c r="A32" s="5"/>
      <c r="B32" s="5" t="s">
        <v>75</v>
      </c>
      <c r="C32" s="7">
        <f>'Income Statement'!B5-'Income Statement'!B19</f>
        <v>11108547</v>
      </c>
      <c r="D32" s="7">
        <f>'Income Statement'!C5-'Income Statement'!C19</f>
        <v>9966676</v>
      </c>
      <c r="E32" s="7">
        <f>'Income Statement'!D5-'Income Statement'!D19</f>
        <v>3759397</v>
      </c>
      <c r="F32" s="7">
        <f>'Income Statement'!E5-'Income Statement'!E19</f>
        <v>2718437</v>
      </c>
      <c r="G32" s="7">
        <f>'Income Statement'!F5-'Income Statement'!F19</f>
        <v>1053065</v>
      </c>
    </row>
    <row r="33" spans="1:29" ht="27" customHeight="1"/>
    <row r="34" spans="1:29" ht="14.4">
      <c r="A34" s="5">
        <v>2</v>
      </c>
    </row>
    <row r="35" spans="1:29" ht="14.4">
      <c r="A35" s="5">
        <v>3</v>
      </c>
    </row>
    <row r="36" spans="1:29" ht="14.4">
      <c r="A36" s="5">
        <v>4</v>
      </c>
    </row>
    <row r="37" spans="1:29" ht="14.4">
      <c r="A37" s="5">
        <v>5</v>
      </c>
    </row>
    <row r="38" spans="1:29" ht="14.4">
      <c r="A38" s="5">
        <v>6</v>
      </c>
    </row>
    <row r="40" spans="1:29" ht="14.4">
      <c r="B40" s="10" t="s">
        <v>76</v>
      </c>
    </row>
    <row r="41" spans="1:29" ht="14.4">
      <c r="B41" s="1" t="s">
        <v>47</v>
      </c>
      <c r="C41" s="2">
        <v>41977144</v>
      </c>
      <c r="D41" s="2">
        <v>40118921</v>
      </c>
      <c r="E41" s="9">
        <v>29540550</v>
      </c>
      <c r="F41" s="2">
        <v>24231551</v>
      </c>
      <c r="G41" s="2">
        <v>22311366</v>
      </c>
      <c r="S41" s="10" t="s">
        <v>77</v>
      </c>
      <c r="Y41" s="5">
        <v>2021</v>
      </c>
      <c r="Z41" s="5">
        <v>2020</v>
      </c>
      <c r="AA41" s="5">
        <v>2019</v>
      </c>
      <c r="AB41" s="5">
        <v>2018</v>
      </c>
      <c r="AC41" s="5">
        <v>2017</v>
      </c>
    </row>
    <row r="42" spans="1:29" ht="14.4">
      <c r="A42" s="5"/>
      <c r="B42" s="1" t="s">
        <v>49</v>
      </c>
      <c r="C42" s="2">
        <v>21017376</v>
      </c>
      <c r="D42" s="2">
        <v>20217974</v>
      </c>
      <c r="E42" s="9">
        <v>18235061</v>
      </c>
      <c r="F42" s="2">
        <v>16240514</v>
      </c>
      <c r="G42" s="2">
        <v>14948796</v>
      </c>
      <c r="S42" s="5" t="s">
        <v>78</v>
      </c>
      <c r="T42" s="5">
        <v>13</v>
      </c>
      <c r="U42" s="16" t="s">
        <v>79</v>
      </c>
      <c r="V42" s="16"/>
      <c r="W42" s="16"/>
    </row>
    <row r="43" spans="1:29" ht="14.4">
      <c r="A43" s="5"/>
      <c r="B43" s="8" t="s">
        <v>13</v>
      </c>
      <c r="C43" s="2">
        <v>1259328610</v>
      </c>
      <c r="D43" s="2">
        <v>992886661</v>
      </c>
      <c r="E43" s="9">
        <v>833443027</v>
      </c>
      <c r="F43" s="2">
        <v>706666079</v>
      </c>
      <c r="G43" s="2">
        <v>662938624</v>
      </c>
      <c r="S43" s="5" t="s">
        <v>80</v>
      </c>
      <c r="T43" s="5">
        <v>14</v>
      </c>
      <c r="U43" s="5" t="s">
        <v>81</v>
      </c>
      <c r="W43" s="16"/>
      <c r="Y43" s="4">
        <f t="shared" ref="Y43:AC43" si="2">C25/C14</f>
        <v>2.5121787179347967E-2</v>
      </c>
      <c r="Z43" s="4">
        <f t="shared" si="2"/>
        <v>3.0347781402047521E-2</v>
      </c>
      <c r="AA43" s="4">
        <f t="shared" si="2"/>
        <v>2.6794391390056745E-2</v>
      </c>
      <c r="AB43" s="4">
        <f t="shared" si="2"/>
        <v>2.9126761384542073E-2</v>
      </c>
      <c r="AC43" s="4">
        <f t="shared" si="2"/>
        <v>1.9300090610075291E-2</v>
      </c>
    </row>
    <row r="44" spans="1:29" ht="14.4">
      <c r="A44" s="5"/>
      <c r="S44" s="5" t="s">
        <v>80</v>
      </c>
      <c r="T44" s="5">
        <v>15</v>
      </c>
      <c r="U44" s="5" t="s">
        <v>82</v>
      </c>
      <c r="W44" s="16"/>
    </row>
    <row r="45" spans="1:29" ht="14.4">
      <c r="S45" s="5" t="s">
        <v>80</v>
      </c>
      <c r="T45" s="5">
        <v>16</v>
      </c>
      <c r="U45" s="5" t="s">
        <v>83</v>
      </c>
      <c r="W45" s="16"/>
    </row>
    <row r="46" spans="1:29" ht="14.4">
      <c r="S46" s="5" t="s">
        <v>80</v>
      </c>
      <c r="T46" s="5">
        <v>17</v>
      </c>
      <c r="U46" s="5" t="s">
        <v>84</v>
      </c>
      <c r="W46" s="16"/>
      <c r="Y46" s="4">
        <f>'Income Statement'!B21/'Balance Sheet'!B41</f>
        <v>8.8934105101129507E-2</v>
      </c>
      <c r="Z46" s="4">
        <f>'Income Statement'!C21/'Balance Sheet'!C41</f>
        <v>3.6113770207443038E-2</v>
      </c>
      <c r="AA46" s="4">
        <f>'Income Statement'!D21/'Balance Sheet'!D41</f>
        <v>1.8236678993626344E-2</v>
      </c>
      <c r="AB46" s="4">
        <f>'Income Statement'!E21/'Balance Sheet'!E41</f>
        <v>4.3469027014322849E-2</v>
      </c>
      <c r="AC46" s="4">
        <f>'Income Statement'!F21/'Balance Sheet'!F41</f>
        <v>-3.614759468943473E-2</v>
      </c>
    </row>
    <row r="47" spans="1:29" ht="14.4">
      <c r="A47" s="5"/>
      <c r="S47" s="5" t="s">
        <v>80</v>
      </c>
      <c r="T47" s="5">
        <v>18</v>
      </c>
      <c r="U47" s="5" t="s">
        <v>85</v>
      </c>
      <c r="W47" s="16"/>
      <c r="Y47" s="4">
        <f>'Income Statement'!B21/C14</f>
        <v>1.0433798373482352E-2</v>
      </c>
      <c r="Z47" s="4">
        <f>'Income Statement'!C21/D14</f>
        <v>4.994099190029095E-3</v>
      </c>
      <c r="AA47" s="4">
        <f>'Income Statement'!D21/E14</f>
        <v>2.0736021819601808E-3</v>
      </c>
      <c r="AB47" s="4">
        <f>'Income Statement'!E21/F14</f>
        <v>4.2569063710001936E-3</v>
      </c>
      <c r="AC47" s="4">
        <f>'Income Statement'!F21/G14</f>
        <v>-4.5475973795449636E-3</v>
      </c>
    </row>
    <row r="48" spans="1:29" ht="14.4">
      <c r="Y48" s="5">
        <v>2021</v>
      </c>
      <c r="Z48" s="5">
        <v>2020</v>
      </c>
      <c r="AA48" s="5">
        <v>2019</v>
      </c>
      <c r="AB48" s="5">
        <v>2018</v>
      </c>
      <c r="AC48" s="5">
        <v>2017</v>
      </c>
    </row>
    <row r="49" spans="2:29" ht="14.4">
      <c r="U49" s="17" t="s">
        <v>86</v>
      </c>
      <c r="Y49" s="4">
        <f>'Income Statement'!B25/'Income Statement'!B23</f>
        <v>0.61993417516786575</v>
      </c>
      <c r="Z49" s="4">
        <f>'Income Statement'!C25/'Income Statement'!C23</f>
        <v>0.60874432277217427</v>
      </c>
      <c r="AA49" s="4">
        <f>'Income Statement'!D25/'Income Statement'!D23</f>
        <v>0.67543789069455207</v>
      </c>
      <c r="AB49" s="4">
        <f>'Income Statement'!E25/'Income Statement'!E23</f>
        <v>0.64413212965271227</v>
      </c>
      <c r="AC49" s="4">
        <f>'Income Statement'!F25/'Income Statement'!F23</f>
        <v>0.61369888160241548</v>
      </c>
    </row>
    <row r="50" spans="2:29" ht="14.4">
      <c r="U50" s="18" t="s">
        <v>87</v>
      </c>
    </row>
    <row r="51" spans="2:29" ht="14.4">
      <c r="U51" s="19" t="s">
        <v>88</v>
      </c>
      <c r="Y51" s="4">
        <f t="shared" ref="Y51:AC51" si="3">C32/C31</f>
        <v>8.8210074096545781E-3</v>
      </c>
      <c r="Z51" s="4">
        <f t="shared" si="3"/>
        <v>1.003808026785446E-2</v>
      </c>
      <c r="AA51" s="4">
        <f t="shared" si="3"/>
        <v>4.510682648017403E-3</v>
      </c>
      <c r="AB51" s="4">
        <f t="shared" si="3"/>
        <v>3.8468480103740765E-3</v>
      </c>
      <c r="AC51" s="4">
        <f t="shared" si="3"/>
        <v>1.5884803839699042E-3</v>
      </c>
    </row>
    <row r="52" spans="2:29" ht="14.4">
      <c r="U52" s="19" t="s">
        <v>89</v>
      </c>
      <c r="Y52" s="4">
        <f>'Balance Sheet'!B17/'Balance Sheet'!B41</f>
        <v>22.471613436788079</v>
      </c>
      <c r="Z52" s="4">
        <f>'Balance Sheet'!C17/'Balance Sheet'!C41</f>
        <v>18.157708667180859</v>
      </c>
      <c r="AA52" s="4">
        <f>'Balance Sheet'!D17/'Balance Sheet'!D41</f>
        <v>19.655663176586923</v>
      </c>
      <c r="AB52" s="4">
        <f>'Balance Sheet'!E17/'Balance Sheet'!E41</f>
        <v>21.031502578201465</v>
      </c>
      <c r="AC52" s="4">
        <f>'Balance Sheet'!F17/'Balance Sheet'!F41</f>
        <v>20.369759309780392</v>
      </c>
    </row>
    <row r="53" spans="2:29" ht="14.4">
      <c r="Y53" s="4">
        <f t="shared" ref="Y53:AC53" si="4">Y49*Y50*Y51*Y52</f>
        <v>0</v>
      </c>
      <c r="Z53" s="4">
        <f t="shared" si="4"/>
        <v>0</v>
      </c>
      <c r="AA53" s="4">
        <f t="shared" si="4"/>
        <v>0</v>
      </c>
      <c r="AB53" s="4">
        <f t="shared" si="4"/>
        <v>0</v>
      </c>
      <c r="AC53" s="4">
        <f t="shared" si="4"/>
        <v>0</v>
      </c>
    </row>
    <row r="56" spans="2:29" ht="14.4">
      <c r="B56" s="10" t="s">
        <v>90</v>
      </c>
      <c r="C56" s="1">
        <v>2021</v>
      </c>
      <c r="D56" s="1">
        <v>2020</v>
      </c>
      <c r="E56" s="1">
        <v>2019</v>
      </c>
      <c r="F56" s="1">
        <v>2018</v>
      </c>
      <c r="G56" s="1">
        <v>2017</v>
      </c>
    </row>
    <row r="57" spans="2:29" ht="14.4">
      <c r="B57" s="20" t="s">
        <v>91</v>
      </c>
      <c r="C57" s="21"/>
      <c r="D57" s="21"/>
      <c r="E57" s="21"/>
      <c r="F57" s="21"/>
      <c r="G57" s="21"/>
    </row>
    <row r="58" spans="2:29" ht="14.4">
      <c r="B58" s="20" t="s">
        <v>92</v>
      </c>
      <c r="C58" s="21">
        <f t="shared" ref="C58:G58" si="5">(C61*C60)/(C60*C59)</f>
        <v>2.0145322434150774</v>
      </c>
      <c r="D58" s="21">
        <f t="shared" si="5"/>
        <v>1.8503634031637453</v>
      </c>
      <c r="E58" s="21">
        <f t="shared" si="5"/>
        <v>1.8085221143473571</v>
      </c>
      <c r="F58" s="21">
        <f t="shared" si="5"/>
        <v>1.1116220735785953</v>
      </c>
      <c r="G58" s="21">
        <f t="shared" si="5"/>
        <v>1.332988089073019</v>
      </c>
    </row>
    <row r="59" spans="2:29" ht="14.4">
      <c r="B59" s="22" t="s">
        <v>93</v>
      </c>
      <c r="C59" s="22">
        <v>22.02</v>
      </c>
      <c r="D59" s="22">
        <v>23.39</v>
      </c>
      <c r="E59" s="22">
        <v>18.54</v>
      </c>
      <c r="F59" s="22">
        <v>23.92</v>
      </c>
      <c r="G59" s="22">
        <v>19.309999999999999</v>
      </c>
    </row>
    <row r="60" spans="2:29" ht="14.4">
      <c r="B60" s="22" t="s">
        <v>94</v>
      </c>
      <c r="C60" s="23">
        <v>1260260180</v>
      </c>
      <c r="D60" s="23">
        <v>1260260180</v>
      </c>
      <c r="E60" s="23">
        <v>1260260180</v>
      </c>
      <c r="F60" s="23">
        <v>1260260180</v>
      </c>
      <c r="G60" s="23">
        <v>1260260180</v>
      </c>
    </row>
    <row r="61" spans="2:29" ht="14.4">
      <c r="B61" s="22" t="s">
        <v>95</v>
      </c>
      <c r="C61" s="24">
        <v>44.36</v>
      </c>
      <c r="D61" s="24">
        <v>43.28</v>
      </c>
      <c r="E61" s="24">
        <v>33.53</v>
      </c>
      <c r="F61" s="24">
        <v>26.59</v>
      </c>
      <c r="G61" s="24">
        <v>25.74</v>
      </c>
    </row>
    <row r="62" spans="2:29" ht="14.4">
      <c r="B62" s="20" t="s">
        <v>96</v>
      </c>
      <c r="C62" s="21"/>
      <c r="D62" s="21"/>
      <c r="E62" s="21"/>
      <c r="F62" s="21"/>
      <c r="G62" s="21"/>
    </row>
    <row r="63" spans="2:29" ht="14.4">
      <c r="B63" s="20" t="s">
        <v>97</v>
      </c>
      <c r="C63" s="21">
        <f t="shared" ref="C63:G63" si="6">C64/C65</f>
        <v>1.3176955341044831</v>
      </c>
      <c r="D63" s="21">
        <f t="shared" si="6"/>
        <v>1.0580940899831748</v>
      </c>
      <c r="E63" s="21">
        <f t="shared" si="6"/>
        <v>1.0312515352074776</v>
      </c>
      <c r="F63" s="21">
        <f t="shared" si="6"/>
        <v>1.0721448468924104</v>
      </c>
      <c r="G63" s="21">
        <f t="shared" si="6"/>
        <v>1.0173813192532266</v>
      </c>
    </row>
    <row r="64" spans="2:29" ht="14.4">
      <c r="B64" s="22" t="s">
        <v>98</v>
      </c>
      <c r="C64" s="23">
        <v>1222420697</v>
      </c>
      <c r="D64" s="23">
        <v>956675071</v>
      </c>
      <c r="E64" s="23">
        <v>786642860</v>
      </c>
      <c r="F64" s="23">
        <v>667452221</v>
      </c>
      <c r="G64" s="23">
        <v>633359777</v>
      </c>
    </row>
    <row r="65" spans="1:8" ht="14.4">
      <c r="B65" s="22" t="s">
        <v>99</v>
      </c>
      <c r="C65" s="23">
        <v>927695864</v>
      </c>
      <c r="D65" s="23">
        <v>904149338</v>
      </c>
      <c r="E65" s="23">
        <v>762804062</v>
      </c>
      <c r="F65" s="23">
        <v>622539224</v>
      </c>
      <c r="G65" s="23">
        <v>622539224</v>
      </c>
    </row>
    <row r="66" spans="1:8" ht="14.4">
      <c r="B66" s="20" t="s">
        <v>100</v>
      </c>
      <c r="C66" s="21">
        <f t="shared" ref="C66:G66" si="7">C67/C68</f>
        <v>0.60150352363038317</v>
      </c>
      <c r="D66" s="21">
        <f t="shared" si="7"/>
        <v>0.95457933838650033</v>
      </c>
      <c r="E66" s="21">
        <f t="shared" si="7"/>
        <v>0.57388256878498511</v>
      </c>
      <c r="F66" s="21">
        <f t="shared" si="7"/>
        <v>0.54748613552497316</v>
      </c>
      <c r="G66" s="21">
        <f t="shared" si="7"/>
        <v>0.54793223807334746</v>
      </c>
      <c r="H66" s="5" t="s">
        <v>101</v>
      </c>
    </row>
    <row r="67" spans="1:8" ht="14.4">
      <c r="B67" s="22" t="s">
        <v>102</v>
      </c>
      <c r="C67" s="25">
        <f>C68-404645277000</f>
        <v>610784723000</v>
      </c>
      <c r="D67" s="25">
        <f>D68-35936237000</f>
        <v>755250763000</v>
      </c>
      <c r="E67" s="25">
        <f>E68-289461352000</f>
        <v>389838134000</v>
      </c>
      <c r="F67" s="25">
        <f>F68- 259578178000</f>
        <v>314057678000</v>
      </c>
      <c r="G67" s="25">
        <f>G68-237700985000</f>
        <v>288107323000</v>
      </c>
    </row>
    <row r="68" spans="1:8" ht="14.4">
      <c r="B68" s="22" t="s">
        <v>103</v>
      </c>
      <c r="C68" s="23">
        <v>1015430000000</v>
      </c>
      <c r="D68" s="23">
        <v>791187000000</v>
      </c>
      <c r="E68" s="23">
        <v>679299486000</v>
      </c>
      <c r="F68" s="23">
        <v>573635856000</v>
      </c>
      <c r="G68" s="23">
        <v>525808308000</v>
      </c>
    </row>
    <row r="69" spans="1:8" ht="14.4">
      <c r="B69" s="20" t="s">
        <v>104</v>
      </c>
      <c r="C69" s="21">
        <f t="shared" ref="C69:G69" si="8">C70/C72</f>
        <v>2.8597402597402595</v>
      </c>
      <c r="D69" s="21">
        <f t="shared" si="8"/>
        <v>2.7292882147024504</v>
      </c>
      <c r="E69" s="21">
        <f t="shared" si="8"/>
        <v>3.328545780969479</v>
      </c>
      <c r="F69" s="21">
        <f t="shared" si="8"/>
        <v>6.7954545454545459</v>
      </c>
      <c r="G69" s="21">
        <f t="shared" si="8"/>
        <v>4.6196172248803826</v>
      </c>
    </row>
    <row r="70" spans="1:8" ht="14.4">
      <c r="B70" s="22" t="s">
        <v>105</v>
      </c>
      <c r="C70" s="22">
        <v>22.02</v>
      </c>
      <c r="D70" s="22">
        <v>23.39</v>
      </c>
      <c r="E70" s="22">
        <v>18.54</v>
      </c>
      <c r="F70" s="22">
        <v>23.92</v>
      </c>
      <c r="G70" s="22">
        <v>19.309999999999999</v>
      </c>
    </row>
    <row r="71" spans="1:8" ht="14.4">
      <c r="B71" s="26" t="s">
        <v>106</v>
      </c>
      <c r="C71" s="27">
        <v>0.1338</v>
      </c>
      <c r="D71" s="27">
        <v>0.15479999999999999</v>
      </c>
      <c r="E71" s="27">
        <v>0.1338</v>
      </c>
      <c r="F71" s="27">
        <v>0.12509999999999999</v>
      </c>
      <c r="G71" s="27">
        <v>0.12089999999999999</v>
      </c>
    </row>
    <row r="72" spans="1:8" ht="14.4">
      <c r="B72" s="22" t="s">
        <v>107</v>
      </c>
      <c r="C72" s="22">
        <v>7.7</v>
      </c>
      <c r="D72" s="22">
        <v>8.57</v>
      </c>
      <c r="E72" s="22">
        <v>5.57</v>
      </c>
      <c r="F72" s="22">
        <v>3.52</v>
      </c>
      <c r="G72" s="22">
        <v>4.18</v>
      </c>
    </row>
    <row r="73" spans="1:8" ht="14.4">
      <c r="B73" s="10" t="s">
        <v>33</v>
      </c>
      <c r="C73" s="2">
        <v>56040863</v>
      </c>
      <c r="D73" s="2">
        <v>54681275</v>
      </c>
      <c r="E73" s="9">
        <v>42402183</v>
      </c>
      <c r="F73" s="2">
        <v>33600361</v>
      </c>
      <c r="G73" s="2">
        <v>32545236</v>
      </c>
    </row>
    <row r="74" spans="1:8" ht="14.4">
      <c r="B74" s="8" t="s">
        <v>13</v>
      </c>
      <c r="C74" s="2">
        <v>1259328610</v>
      </c>
      <c r="D74" s="2">
        <v>992886661</v>
      </c>
      <c r="E74" s="9">
        <v>833443027</v>
      </c>
      <c r="F74" s="2">
        <v>706666079</v>
      </c>
      <c r="G74" s="2">
        <v>662938624</v>
      </c>
    </row>
    <row r="75" spans="1:8" ht="14.4">
      <c r="B75" s="10" t="s">
        <v>108</v>
      </c>
    </row>
    <row r="76" spans="1:8" ht="14.4">
      <c r="A76" s="28">
        <v>3</v>
      </c>
      <c r="B76" s="29" t="s">
        <v>109</v>
      </c>
      <c r="C76" s="30">
        <f>SUM('Income Statement'!B25/'Income Statement'!B16)</f>
        <v>0.46227145577069184</v>
      </c>
      <c r="D76" s="30">
        <f>SUM('Income Statement'!C25/'Income Statement'!C16)</f>
        <v>0.53699727776878137</v>
      </c>
      <c r="E76" s="30">
        <f>SUM('Income Statement'!D25/'Income Statement'!D16)</f>
        <v>0.38485755545320083</v>
      </c>
      <c r="F76" s="30">
        <f>SUM('Income Statement'!E25/'Income Statement'!E16)</f>
        <v>0.27285330993834306</v>
      </c>
      <c r="G76" s="30">
        <f>SUM('Income Statement'!F25/'Income Statement'!F16)</f>
        <v>0.34261528486976478</v>
      </c>
      <c r="H76" s="10" t="s">
        <v>110</v>
      </c>
    </row>
    <row r="77" spans="1:8" ht="14.4">
      <c r="A77" s="28">
        <v>4</v>
      </c>
      <c r="B77" s="29" t="s">
        <v>111</v>
      </c>
      <c r="C77" s="31">
        <f>C29/C30</f>
        <v>0.17336872560295868</v>
      </c>
      <c r="D77" s="31">
        <f t="shared" ref="D77:G77" si="9">D29/D30</f>
        <v>0.19855054586784965</v>
      </c>
      <c r="E77" s="31">
        <f t="shared" si="9"/>
        <v>0.16550801169835996</v>
      </c>
      <c r="F77" s="31">
        <f t="shared" si="9"/>
        <v>0.13188185686457357</v>
      </c>
      <c r="G77" s="31">
        <f t="shared" si="9"/>
        <v>0.15737129698491048</v>
      </c>
      <c r="H77" s="10" t="s">
        <v>112</v>
      </c>
    </row>
    <row r="78" spans="1:8" ht="14.4">
      <c r="A78" s="28">
        <v>5</v>
      </c>
      <c r="B78" s="29" t="s">
        <v>113</v>
      </c>
      <c r="C78" s="30">
        <f t="shared" ref="C78:G78" si="10">C29/C31</f>
        <v>7.7150101433810826E-3</v>
      </c>
      <c r="D78" s="30">
        <f t="shared" si="10"/>
        <v>1.0934779795576284E-2</v>
      </c>
      <c r="E78" s="30">
        <f t="shared" si="10"/>
        <v>8.420372806118636E-3</v>
      </c>
      <c r="F78" s="30">
        <f t="shared" si="10"/>
        <v>6.2706816298168455E-3</v>
      </c>
      <c r="G78" s="30">
        <f t="shared" si="10"/>
        <v>7.7257317865974872E-3</v>
      </c>
      <c r="H78" s="10" t="s">
        <v>112</v>
      </c>
    </row>
    <row r="79" spans="1:8" ht="14.4">
      <c r="A79" s="28">
        <v>6</v>
      </c>
      <c r="B79" s="29" t="s">
        <v>114</v>
      </c>
      <c r="C79" s="30">
        <f t="shared" ref="C79:G79" si="11">SUM(C80/C84)</f>
        <v>2.7200526981335408E-10</v>
      </c>
      <c r="D79" s="30">
        <f t="shared" si="11"/>
        <v>3.3155479186001709E-10</v>
      </c>
      <c r="E79" s="30">
        <f t="shared" si="11"/>
        <v>2.0376654688651644E-10</v>
      </c>
      <c r="F79" s="30">
        <f t="shared" si="11"/>
        <v>2.0670911833192082E-10</v>
      </c>
      <c r="G79" s="30">
        <f t="shared" si="11"/>
        <v>9.8083030948798745E-11</v>
      </c>
      <c r="H79" s="10" t="s">
        <v>110</v>
      </c>
    </row>
    <row r="80" spans="1:8" ht="14.4">
      <c r="A80" s="28">
        <v>7</v>
      </c>
      <c r="B80" s="29" t="s">
        <v>115</v>
      </c>
      <c r="C80" s="32">
        <f t="shared" ref="C80:G80" si="12">C32/C31</f>
        <v>8.8210074096545781E-3</v>
      </c>
      <c r="D80" s="32">
        <f t="shared" si="12"/>
        <v>1.003808026785446E-2</v>
      </c>
      <c r="E80" s="32">
        <f t="shared" si="12"/>
        <v>4.510682648017403E-3</v>
      </c>
      <c r="F80" s="32">
        <f t="shared" si="12"/>
        <v>3.8468480103740765E-3</v>
      </c>
      <c r="G80" s="32">
        <f t="shared" si="12"/>
        <v>1.5884803839699042E-3</v>
      </c>
      <c r="H80" s="10" t="s">
        <v>116</v>
      </c>
    </row>
    <row r="81" spans="1:8" ht="14.4">
      <c r="A81" s="28">
        <v>8</v>
      </c>
      <c r="B81" s="29" t="s">
        <v>117</v>
      </c>
      <c r="C81" s="32">
        <f>('Income Statement'!B13-'Income Statement'!B21-'Income Statement'!B18)/'Balance Sheet'!B17</f>
        <v>3.5523015712316738E-3</v>
      </c>
      <c r="D81" s="32">
        <f>('Income Statement'!C13-'Income Statement'!C21-'Income Statement'!C18)/'Balance Sheet'!C17</f>
        <v>7.8762705827105477E-3</v>
      </c>
      <c r="E81" s="32">
        <f>('Income Statement'!D13-'Income Statement'!D21-'Income Statement'!D18)/'Balance Sheet'!D17</f>
        <v>7.8359357369726969E-3</v>
      </c>
      <c r="F81" s="32">
        <f>('Income Statement'!E13-'Income Statement'!E21-'Income Statement'!E18)/'Balance Sheet'!E17</f>
        <v>5.6178598605127047E-3</v>
      </c>
      <c r="G81" s="32">
        <f>('Income Statement'!F13-'Income Statement'!F21-'Income Statement'!F18)/'Balance Sheet'!F17</f>
        <v>1.0964767682626378E-2</v>
      </c>
      <c r="H81" s="10" t="s">
        <v>116</v>
      </c>
    </row>
    <row r="82" spans="1:8" ht="14.4">
      <c r="A82" s="28">
        <v>9</v>
      </c>
      <c r="B82" s="29" t="s">
        <v>118</v>
      </c>
      <c r="C82" s="30">
        <f t="shared" ref="C82:G82" si="13">(C41-C42)/C43</f>
        <v>1.6643605039672688E-2</v>
      </c>
      <c r="D82" s="30">
        <f t="shared" si="13"/>
        <v>2.0043523376531695E-2</v>
      </c>
      <c r="E82" s="30">
        <f t="shared" si="13"/>
        <v>1.3564801232658222E-2</v>
      </c>
      <c r="F82" s="30">
        <f t="shared" si="13"/>
        <v>1.1308080630257619E-2</v>
      </c>
      <c r="G82" s="30">
        <f t="shared" si="13"/>
        <v>1.1105960240446029E-2</v>
      </c>
      <c r="H82" s="10" t="s">
        <v>119</v>
      </c>
    </row>
    <row r="83" spans="1:8" ht="14.4">
      <c r="A83" s="28">
        <v>10</v>
      </c>
      <c r="B83" s="29" t="s">
        <v>120</v>
      </c>
      <c r="C83" s="30">
        <f t="shared" ref="C83:G83" si="14">(C84/C85)-(C86/C87)</f>
        <v>1.1139617080179309E-2</v>
      </c>
      <c r="D83" s="30">
        <f t="shared" si="14"/>
        <v>1.2801607777504293E-2</v>
      </c>
      <c r="E83" s="30">
        <f t="shared" si="14"/>
        <v>6.5391634196390672E-3</v>
      </c>
      <c r="F83" s="30">
        <f t="shared" si="14"/>
        <v>5.6618088379456095E-3</v>
      </c>
      <c r="G83" s="30">
        <f t="shared" si="14"/>
        <v>2.8294988179066068E-3</v>
      </c>
      <c r="H83" s="33"/>
    </row>
    <row r="84" spans="1:8" ht="14.4">
      <c r="A84" s="34"/>
      <c r="B84" s="35" t="s">
        <v>121</v>
      </c>
      <c r="C84" s="36">
        <f>'Income Statement'!B5</f>
        <v>32429546</v>
      </c>
      <c r="D84" s="36">
        <f>'Income Statement'!C5</f>
        <v>30275781</v>
      </c>
      <c r="E84" s="36">
        <f>'Income Statement'!D5</f>
        <v>22136522</v>
      </c>
      <c r="F84" s="36">
        <f>'Income Statement'!E5</f>
        <v>18609958</v>
      </c>
      <c r="G84" s="36">
        <f>'Income Statement'!F5</f>
        <v>16195262</v>
      </c>
      <c r="H84" s="33"/>
    </row>
    <row r="85" spans="1:8" ht="14.4">
      <c r="A85" s="34"/>
      <c r="B85" s="35" t="s">
        <v>122</v>
      </c>
      <c r="C85" s="36">
        <f t="shared" ref="C85:G85" si="15">C18</f>
        <v>1097460409</v>
      </c>
      <c r="D85" s="36">
        <f t="shared" si="15"/>
        <v>853224189</v>
      </c>
      <c r="E85" s="36">
        <f t="shared" si="15"/>
        <v>706642170</v>
      </c>
      <c r="F85" s="36">
        <f t="shared" si="15"/>
        <v>607434536</v>
      </c>
      <c r="G85" s="36">
        <f t="shared" si="15"/>
        <v>579093669</v>
      </c>
      <c r="H85" s="33"/>
    </row>
    <row r="86" spans="1:8" ht="14.4">
      <c r="A86" s="34"/>
      <c r="B86" s="35" t="s">
        <v>123</v>
      </c>
      <c r="C86" s="36">
        <f>'Income Statement'!B19</f>
        <v>21320999</v>
      </c>
      <c r="D86" s="36">
        <f>'Income Statement'!C19</f>
        <v>20309105</v>
      </c>
      <c r="E86" s="36">
        <f>'Income Statement'!D19</f>
        <v>18377125</v>
      </c>
      <c r="F86" s="36">
        <f>'Income Statement'!E19</f>
        <v>15891521</v>
      </c>
      <c r="G86" s="36">
        <f>'Income Statement'!F19</f>
        <v>15142197</v>
      </c>
      <c r="H86" s="33"/>
    </row>
    <row r="87" spans="1:8" ht="14.4">
      <c r="A87" s="34"/>
      <c r="B87" s="35" t="s">
        <v>72</v>
      </c>
      <c r="C87" s="36">
        <f t="shared" ref="C87:G87" si="16">C27</f>
        <v>1158119893</v>
      </c>
      <c r="D87" s="36">
        <f t="shared" si="16"/>
        <v>895369951</v>
      </c>
      <c r="E87" s="36">
        <f t="shared" si="16"/>
        <v>741396075</v>
      </c>
      <c r="F87" s="36">
        <f t="shared" si="16"/>
        <v>636292849</v>
      </c>
      <c r="G87" s="36">
        <f t="shared" si="16"/>
        <v>602385162</v>
      </c>
      <c r="H87" s="33"/>
    </row>
    <row r="88" spans="1:8" ht="14.4">
      <c r="A88" s="28">
        <v>11</v>
      </c>
      <c r="B88" s="29" t="s">
        <v>124</v>
      </c>
      <c r="C88" s="30">
        <f t="shared" ref="C88:G88" si="17">C29/C32</f>
        <v>0.874617805550987</v>
      </c>
      <c r="D88" s="30">
        <f t="shared" si="17"/>
        <v>1.0893297825674277</v>
      </c>
      <c r="E88" s="30">
        <f t="shared" si="17"/>
        <v>1.8667624089714387</v>
      </c>
      <c r="F88" s="30">
        <f t="shared" si="17"/>
        <v>1.630083021971817</v>
      </c>
      <c r="G88" s="30">
        <f t="shared" si="17"/>
        <v>4.8635991130651952</v>
      </c>
      <c r="H88" s="10" t="s">
        <v>112</v>
      </c>
    </row>
    <row r="89" spans="1:8" ht="14.4">
      <c r="A89" s="28">
        <v>12</v>
      </c>
      <c r="B89" s="29" t="s">
        <v>125</v>
      </c>
      <c r="C89" s="30">
        <f t="shared" ref="C89:G89" si="18">C31/C30</f>
        <v>22.471613436788079</v>
      </c>
      <c r="D89" s="30">
        <f t="shared" si="18"/>
        <v>18.157708667180859</v>
      </c>
      <c r="E89" s="30">
        <f t="shared" si="18"/>
        <v>19.655663176586923</v>
      </c>
      <c r="F89" s="30">
        <f t="shared" si="18"/>
        <v>21.031502578201465</v>
      </c>
      <c r="G89" s="30">
        <f t="shared" si="18"/>
        <v>20.369759309780392</v>
      </c>
      <c r="H89" s="10" t="s">
        <v>112</v>
      </c>
    </row>
    <row r="90" spans="1:8" ht="14.4">
      <c r="A90" s="28">
        <v>13</v>
      </c>
      <c r="B90" s="29" t="s">
        <v>126</v>
      </c>
      <c r="C90" s="30">
        <f t="shared" ref="C90:G90" si="19">C32/C31</f>
        <v>8.8210074096545781E-3</v>
      </c>
      <c r="D90" s="30">
        <f t="shared" si="19"/>
        <v>1.003808026785446E-2</v>
      </c>
      <c r="E90" s="30">
        <f t="shared" si="19"/>
        <v>4.510682648017403E-3</v>
      </c>
      <c r="F90" s="30">
        <f t="shared" si="19"/>
        <v>3.8468480103740765E-3</v>
      </c>
      <c r="G90" s="30">
        <f t="shared" si="19"/>
        <v>1.5884803839699042E-3</v>
      </c>
      <c r="H90" s="10" t="s">
        <v>112</v>
      </c>
    </row>
    <row r="91" spans="1:8" ht="14.4">
      <c r="A91" s="28">
        <v>14</v>
      </c>
      <c r="B91" s="29" t="s">
        <v>127</v>
      </c>
      <c r="C91" s="30">
        <f t="shared" ref="C91:G91" si="20">C42/C41</f>
        <v>0.50068618293802936</v>
      </c>
      <c r="D91" s="30">
        <f t="shared" si="20"/>
        <v>0.50395109080824985</v>
      </c>
      <c r="E91" s="30">
        <f t="shared" si="20"/>
        <v>0.61728914999889983</v>
      </c>
      <c r="F91" s="30">
        <f t="shared" si="20"/>
        <v>0.67022181122454771</v>
      </c>
      <c r="G91" s="30">
        <f t="shared" si="20"/>
        <v>0.67000810259667654</v>
      </c>
      <c r="H91" s="10" t="s">
        <v>119</v>
      </c>
    </row>
    <row r="92" spans="1:8" ht="14.4">
      <c r="A92" s="28">
        <v>15</v>
      </c>
      <c r="B92" s="29" t="s">
        <v>128</v>
      </c>
      <c r="C92" s="37">
        <f>C29/15672201</f>
        <v>0.61993417516786575</v>
      </c>
      <c r="D92" s="37">
        <f>D29/17835069</f>
        <v>0.60874432277217427</v>
      </c>
      <c r="E92" s="37">
        <f>E29/10400965</f>
        <v>0.67473556540186419</v>
      </c>
      <c r="F92" s="37">
        <f>F29/6879455</f>
        <v>0.64413212965271227</v>
      </c>
      <c r="G92" s="37">
        <f>G29/8345601</f>
        <v>0.61369888160241548</v>
      </c>
      <c r="H92" s="10" t="s">
        <v>129</v>
      </c>
    </row>
    <row r="93" spans="1:8" ht="14.4">
      <c r="A93" s="28">
        <v>16</v>
      </c>
      <c r="B93" s="29" t="s">
        <v>130</v>
      </c>
      <c r="C93" s="32">
        <f t="shared" ref="C93:G93" si="21">C32/C43</f>
        <v>8.8210074096545781E-3</v>
      </c>
      <c r="D93" s="32">
        <f t="shared" si="21"/>
        <v>1.003808026785446E-2</v>
      </c>
      <c r="E93" s="32">
        <f t="shared" si="21"/>
        <v>4.510682648017403E-3</v>
      </c>
      <c r="F93" s="32">
        <f t="shared" si="21"/>
        <v>3.8468480103740765E-3</v>
      </c>
      <c r="G93" s="32">
        <f t="shared" si="21"/>
        <v>1.5884803839699042E-3</v>
      </c>
      <c r="H93" s="10" t="s">
        <v>129</v>
      </c>
    </row>
    <row r="96" spans="1:8" ht="14.4">
      <c r="C96" s="30"/>
      <c r="D96" s="30"/>
      <c r="E96" s="30"/>
      <c r="F96" s="30"/>
      <c r="G96" s="30"/>
    </row>
    <row r="98" spans="2:9" ht="14.4">
      <c r="B98" s="38" t="s">
        <v>131</v>
      </c>
      <c r="C98" s="39"/>
      <c r="D98" s="39"/>
      <c r="E98" s="39"/>
      <c r="F98" s="39"/>
      <c r="G98" s="39"/>
      <c r="H98" s="39"/>
    </row>
    <row r="99" spans="2:9" ht="14.4">
      <c r="B99" s="40" t="s">
        <v>132</v>
      </c>
      <c r="C99" s="39">
        <f t="shared" ref="C99:G99" si="22">C64/C65</f>
        <v>1.3176955341044831</v>
      </c>
      <c r="D99" s="39">
        <f t="shared" si="22"/>
        <v>1.0580940899831748</v>
      </c>
      <c r="E99" s="39">
        <f t="shared" si="22"/>
        <v>1.0312515352074776</v>
      </c>
      <c r="F99" s="39">
        <f t="shared" si="22"/>
        <v>1.0721448468924104</v>
      </c>
      <c r="G99" s="39">
        <f t="shared" si="22"/>
        <v>1.0173813192532266</v>
      </c>
      <c r="H99" s="40" t="s">
        <v>133</v>
      </c>
      <c r="I99" s="10"/>
    </row>
    <row r="100" spans="2:9" ht="14.4">
      <c r="B100" s="40" t="s">
        <v>134</v>
      </c>
      <c r="C100" s="39">
        <f t="shared" ref="C100:G100" si="23">C67/C68</f>
        <v>0.60150352363038317</v>
      </c>
      <c r="D100" s="39">
        <f t="shared" si="23"/>
        <v>0.95457933838650033</v>
      </c>
      <c r="E100" s="39">
        <f t="shared" si="23"/>
        <v>0.57388256878498511</v>
      </c>
      <c r="F100" s="39">
        <f t="shared" si="23"/>
        <v>0.54748613552497316</v>
      </c>
      <c r="G100" s="39">
        <f t="shared" si="23"/>
        <v>0.54793223807334746</v>
      </c>
      <c r="H100" s="40" t="s">
        <v>133</v>
      </c>
    </row>
    <row r="101" spans="2:9" ht="14.4">
      <c r="B101" s="38" t="s">
        <v>135</v>
      </c>
      <c r="C101" s="39"/>
      <c r="D101" s="39"/>
      <c r="E101" s="39"/>
      <c r="F101" s="39"/>
      <c r="G101" s="39"/>
      <c r="H101" s="39"/>
    </row>
    <row r="102" spans="2:9" ht="14.4">
      <c r="B102" s="40" t="s">
        <v>136</v>
      </c>
      <c r="C102" s="39">
        <f t="shared" ref="C102:G102" si="24">C70/C72</f>
        <v>2.8597402597402595</v>
      </c>
      <c r="D102" s="39">
        <f t="shared" si="24"/>
        <v>2.7292882147024504</v>
      </c>
      <c r="E102" s="39">
        <f t="shared" si="24"/>
        <v>3.328545780969479</v>
      </c>
      <c r="F102" s="39">
        <f t="shared" si="24"/>
        <v>6.7954545454545459</v>
      </c>
      <c r="G102" s="39">
        <f t="shared" si="24"/>
        <v>4.6196172248803826</v>
      </c>
      <c r="H102" s="40" t="s">
        <v>133</v>
      </c>
    </row>
    <row r="103" spans="2:9" ht="14.4">
      <c r="B103" s="40" t="s">
        <v>137</v>
      </c>
      <c r="C103" s="39">
        <f t="shared" ref="C103:G103" si="25">C73/C74</f>
        <v>4.4500587499556606E-2</v>
      </c>
      <c r="D103" s="39">
        <f t="shared" si="25"/>
        <v>5.5073028118765313E-2</v>
      </c>
      <c r="E103" s="39">
        <f t="shared" si="25"/>
        <v>5.087592268019539E-2</v>
      </c>
      <c r="F103" s="39">
        <f t="shared" si="25"/>
        <v>4.7547720201240901E-2</v>
      </c>
      <c r="G103" s="39">
        <f t="shared" si="25"/>
        <v>4.90923817406059E-2</v>
      </c>
      <c r="H103" s="40" t="s">
        <v>133</v>
      </c>
    </row>
    <row r="106" spans="2:9" ht="14.4">
      <c r="C106" s="10">
        <v>2021</v>
      </c>
      <c r="D106" s="10">
        <v>2020</v>
      </c>
      <c r="E106" s="10">
        <v>2019</v>
      </c>
      <c r="F106" s="10">
        <v>2018</v>
      </c>
      <c r="G106" s="10">
        <v>2017</v>
      </c>
    </row>
    <row r="107" spans="2:9" ht="14.4">
      <c r="B107" s="41" t="s">
        <v>138</v>
      </c>
      <c r="C107" s="42">
        <f t="shared" ref="C107:G107" si="26">C108/C109</f>
        <v>0.3793632663534941</v>
      </c>
      <c r="D107" s="42">
        <f t="shared" si="26"/>
        <v>0.39839723682251421</v>
      </c>
      <c r="E107" s="42">
        <f t="shared" si="26"/>
        <v>0.44759426135422897</v>
      </c>
      <c r="F107" s="42">
        <f t="shared" si="26"/>
        <v>0.48562149570563989</v>
      </c>
      <c r="G107" s="42">
        <f t="shared" si="26"/>
        <v>0.39036735341946005</v>
      </c>
      <c r="H107" s="10"/>
    </row>
    <row r="108" spans="2:9" ht="14.4">
      <c r="B108" s="5" t="s">
        <v>139</v>
      </c>
      <c r="C108" s="6">
        <v>477673022</v>
      </c>
      <c r="D108" s="6">
        <v>395416055</v>
      </c>
      <c r="E108" s="6">
        <v>372939122</v>
      </c>
      <c r="F108" s="6">
        <v>343107147</v>
      </c>
      <c r="G108" s="6">
        <v>258693086</v>
      </c>
    </row>
    <row r="109" spans="2:9" ht="14.4">
      <c r="B109" s="5" t="s">
        <v>13</v>
      </c>
      <c r="C109" s="6">
        <v>1259144109</v>
      </c>
      <c r="D109" s="6">
        <v>992517062</v>
      </c>
      <c r="E109" s="6">
        <v>833208006</v>
      </c>
      <c r="F109" s="6">
        <v>706532042</v>
      </c>
      <c r="G109" s="6">
        <v>662691395</v>
      </c>
    </row>
    <row r="110" spans="2:9" ht="14.4">
      <c r="B110" s="41" t="s">
        <v>140</v>
      </c>
      <c r="C110" s="43">
        <f t="shared" ref="C110:G110" si="27">C111/C109</f>
        <v>7.3850530161992764E-2</v>
      </c>
      <c r="D110" s="43">
        <f t="shared" si="27"/>
        <v>8.2464945071140758E-2</v>
      </c>
      <c r="E110" s="43">
        <f t="shared" si="27"/>
        <v>8.5123992435569562E-2</v>
      </c>
      <c r="F110" s="43">
        <f t="shared" si="27"/>
        <v>7.541207451706769E-2</v>
      </c>
      <c r="G110" s="43">
        <f t="shared" si="27"/>
        <v>7.1576544312907525E-2</v>
      </c>
    </row>
    <row r="111" spans="2:9" ht="14.4">
      <c r="B111" s="5" t="s">
        <v>141</v>
      </c>
      <c r="C111" s="7">
        <f>89432245+3556215</f>
        <v>92988460</v>
      </c>
      <c r="D111" s="6">
        <f>73651718+8196147</f>
        <v>81847865</v>
      </c>
      <c r="E111" s="6">
        <f>63039290+7886702</f>
        <v>70925992</v>
      </c>
      <c r="F111" s="7">
        <f>49187645+4093402</f>
        <v>53281047</v>
      </c>
      <c r="G111" s="6">
        <f>44239325+3193835</f>
        <v>47433160</v>
      </c>
    </row>
    <row r="112" spans="2:9" ht="14.4">
      <c r="B112" s="41" t="s">
        <v>142</v>
      </c>
      <c r="C112" s="43">
        <f t="shared" ref="C112:G112" si="28">C113/C109</f>
        <v>0.49171115011744854</v>
      </c>
      <c r="D112" s="43">
        <f t="shared" si="28"/>
        <v>0.45446058840648929</v>
      </c>
      <c r="E112" s="43">
        <f t="shared" si="28"/>
        <v>0.35671873752974959</v>
      </c>
      <c r="F112" s="43">
        <f t="shared" si="28"/>
        <v>0.36993280907704396</v>
      </c>
      <c r="G112" s="43">
        <f t="shared" si="28"/>
        <v>0.47395078670064822</v>
      </c>
    </row>
    <row r="113" spans="2:14" ht="14.4">
      <c r="B113" s="5" t="s">
        <v>143</v>
      </c>
      <c r="C113" s="6">
        <f>593924897+25210301</f>
        <v>619135198</v>
      </c>
      <c r="D113" s="6">
        <f>429738711+21321177</f>
        <v>451059888</v>
      </c>
      <c r="E113" s="6">
        <f>284916148+12304760</f>
        <v>297220908</v>
      </c>
      <c r="F113" s="6">
        <f>249064623+12304760</f>
        <v>261369383</v>
      </c>
      <c r="G113" s="6">
        <f>10995031+303088077</f>
        <v>314083108</v>
      </c>
    </row>
    <row r="115" spans="2:14" ht="14.4">
      <c r="B115" s="10" t="s">
        <v>144</v>
      </c>
    </row>
    <row r="116" spans="2:14" ht="14.4">
      <c r="B116" s="44" t="s">
        <v>145</v>
      </c>
      <c r="C116" s="45">
        <f>'Income Statement'!B21/'Balance Sheet'!B41</f>
        <v>8.8934105101129507E-2</v>
      </c>
      <c r="D116" s="45">
        <f>'Income Statement'!C21/'Balance Sheet'!C41</f>
        <v>3.6113770207443038E-2</v>
      </c>
      <c r="E116" s="45">
        <f>'Income Statement'!D21/'Balance Sheet'!D41</f>
        <v>1.8236678993626344E-2</v>
      </c>
      <c r="F116" s="45">
        <f>'Income Statement'!E21/'Balance Sheet'!E41</f>
        <v>4.3469027014322849E-2</v>
      </c>
      <c r="G116" s="45">
        <f>'Income Statement'!F21/'Balance Sheet'!F41</f>
        <v>-3.614759468943473E-2</v>
      </c>
    </row>
    <row r="117" spans="2:14" ht="14.4">
      <c r="B117" s="44" t="s">
        <v>146</v>
      </c>
      <c r="C117" s="45">
        <f>'Income Statement'!B21/C119</f>
        <v>1.2181678995728362E-2</v>
      </c>
      <c r="D117" s="45">
        <f>'Income Statement'!C21/D119</f>
        <v>5.9101616533350602E-3</v>
      </c>
      <c r="E117" s="45">
        <f>'Income Statement'!D21/E119</f>
        <v>2.3198739702196373E-3</v>
      </c>
      <c r="F117" s="45">
        <f>'Income Statement'!E21/F119</f>
        <v>4.782518939849008E-3</v>
      </c>
      <c r="G117" s="45">
        <f>'Income Statement'!F21/G119</f>
        <v>-4.8996183428574609E-3</v>
      </c>
    </row>
    <row r="118" spans="2:14" ht="14.4">
      <c r="B118" s="5" t="s">
        <v>147</v>
      </c>
      <c r="C118" s="46">
        <v>1.0433798373482352E-2</v>
      </c>
      <c r="D118" s="46">
        <v>4.994099190029095E-3</v>
      </c>
      <c r="E118" s="46">
        <v>2.0736021819601808E-3</v>
      </c>
      <c r="F118" s="46">
        <v>4.2569063710001936E-3</v>
      </c>
      <c r="G118" s="46">
        <v>-4.5475973795449636E-3</v>
      </c>
    </row>
    <row r="119" spans="2:14" ht="14.4">
      <c r="B119" s="5" t="s">
        <v>148</v>
      </c>
      <c r="C119" s="6">
        <v>409134406</v>
      </c>
      <c r="D119" s="6">
        <v>334127409</v>
      </c>
      <c r="E119" s="6">
        <v>333326297</v>
      </c>
      <c r="F119" s="6">
        <v>305398686</v>
      </c>
      <c r="G119" s="6">
        <v>240106865</v>
      </c>
    </row>
    <row r="121" spans="2:14" ht="14.4">
      <c r="B121" s="47" t="s">
        <v>149</v>
      </c>
      <c r="C121" s="48"/>
      <c r="D121" s="48"/>
      <c r="E121" s="48"/>
      <c r="F121" s="48"/>
      <c r="G121" s="48"/>
    </row>
    <row r="122" spans="2:14" ht="14.4">
      <c r="B122" s="47" t="s">
        <v>150</v>
      </c>
      <c r="C122" s="48">
        <f>B138/7478</f>
        <v>1299.2421770526878</v>
      </c>
      <c r="D122" s="48">
        <f>C138/7658</f>
        <v>1417.7326978323322</v>
      </c>
      <c r="E122" s="48">
        <f>D138/7534</f>
        <v>931.49734536766653</v>
      </c>
      <c r="F122" s="48">
        <f>E138/7538</f>
        <v>587.85858317856196</v>
      </c>
      <c r="G122" s="48">
        <f>F138/7848</f>
        <v>652.61034658511721</v>
      </c>
    </row>
    <row r="123" spans="2:14" ht="14.4">
      <c r="B123" s="47" t="s">
        <v>151</v>
      </c>
      <c r="C123" s="48"/>
      <c r="D123" s="48"/>
      <c r="E123" s="48"/>
      <c r="F123" s="48"/>
      <c r="G123" s="48"/>
    </row>
    <row r="124" spans="2:14" ht="14.4">
      <c r="B124" s="49" t="s">
        <v>152</v>
      </c>
      <c r="C124" s="48">
        <f>'Balance Sheet'!B20/'Balance Sheet'!B26</f>
        <v>0.1026884561137312</v>
      </c>
      <c r="D124" s="48">
        <f>'Balance Sheet'!C20/'Balance Sheet'!C26</f>
        <v>8.9707083604399607E-2</v>
      </c>
      <c r="E124" s="48">
        <f>'Balance Sheet'!D20/'Balance Sheet'!D26</f>
        <v>6.4720883167952672E-2</v>
      </c>
      <c r="F124" s="48">
        <f>'Balance Sheet'!E20/'Balance Sheet'!E26</f>
        <v>7.8311381765638913E-2</v>
      </c>
      <c r="G124" s="48">
        <f>'Balance Sheet'!F20/'Balance Sheet'!F26</f>
        <v>0.11358510169017981</v>
      </c>
    </row>
    <row r="125" spans="2:14" ht="14.4">
      <c r="B125" s="49" t="s">
        <v>153</v>
      </c>
      <c r="C125" s="48">
        <f>'Balance Sheet'!B41/'Balance Sheet'!B7</f>
        <v>9.0941298568388548E-2</v>
      </c>
      <c r="D125" s="48">
        <f>'Balance Sheet'!C41/'Balance Sheet'!C7</f>
        <v>0.12161881039884286</v>
      </c>
      <c r="E125" s="48">
        <f>'Balance Sheet'!D41/'Balance Sheet'!D7</f>
        <v>0.13882526600948358</v>
      </c>
      <c r="F125" s="48">
        <f>'Balance Sheet'!E41/'Balance Sheet'!E7</f>
        <v>0.12911595978429982</v>
      </c>
      <c r="G125" s="48">
        <f>'Balance Sheet'!F41/'Balance Sheet'!F7</f>
        <v>0.10333239788213713</v>
      </c>
    </row>
    <row r="127" spans="2:14" ht="14.4">
      <c r="J127" s="1">
        <v>2021</v>
      </c>
      <c r="K127" s="1">
        <v>2020</v>
      </c>
      <c r="L127" s="1">
        <v>2019</v>
      </c>
      <c r="M127" s="1">
        <v>2018</v>
      </c>
      <c r="N127" s="1">
        <v>2017</v>
      </c>
    </row>
    <row r="128" spans="2:14" ht="14.4">
      <c r="B128" s="5" t="s">
        <v>154</v>
      </c>
      <c r="C128" s="46">
        <f>'Income Statement'!B21/'Balance Sheet'!B41</f>
        <v>8.8934105101129507E-2</v>
      </c>
      <c r="D128" s="46">
        <f>'Income Statement'!C21/'Balance Sheet'!C41</f>
        <v>3.6113770207443038E-2</v>
      </c>
      <c r="E128" s="46">
        <f>'Income Statement'!D21/'Balance Sheet'!D41</f>
        <v>1.8236678993626344E-2</v>
      </c>
      <c r="F128" s="46">
        <f>'Income Statement'!E21/'Balance Sheet'!E41</f>
        <v>4.3469027014322849E-2</v>
      </c>
      <c r="G128" s="46">
        <f>'Income Statement'!F21/'Balance Sheet'!F41</f>
        <v>-3.614759468943473E-2</v>
      </c>
      <c r="I128" s="5" t="s">
        <v>155</v>
      </c>
      <c r="J128" s="6">
        <v>50910076</v>
      </c>
      <c r="K128" s="6">
        <v>30042628</v>
      </c>
      <c r="L128" s="6">
        <v>21915115</v>
      </c>
      <c r="M128" s="6">
        <v>20766755</v>
      </c>
      <c r="N128" s="6">
        <v>49145554</v>
      </c>
    </row>
    <row r="129" spans="2:7" ht="14.4">
      <c r="B129" s="5" t="s">
        <v>156</v>
      </c>
      <c r="C129" s="46">
        <f>25413635/'Balance Sheet'!B41</f>
        <v>0.45348400505538256</v>
      </c>
      <c r="D129" s="46">
        <f>24338648/'Balance Sheet'!C41</f>
        <v>0.44510022855172998</v>
      </c>
      <c r="E129" s="46">
        <f>26257191/'Balance Sheet'!D41</f>
        <v>0.61924149046760169</v>
      </c>
      <c r="F129" s="46">
        <f>26166223/'Balance Sheet'!E41</f>
        <v>0.77874826999626579</v>
      </c>
      <c r="G129" s="46">
        <f>26753027/'Balance Sheet'!F41</f>
        <v>0.82202590265438547</v>
      </c>
    </row>
    <row r="130" spans="2:7" ht="14.4">
      <c r="B130" s="5" t="s">
        <v>157</v>
      </c>
      <c r="C130" s="46">
        <f>J128/'Balance Sheet'!B17</f>
        <v>4.0426363377863699E-2</v>
      </c>
      <c r="D130" s="46">
        <f>K128/'Balance Sheet'!C17</f>
        <v>3.0257862432900587E-2</v>
      </c>
      <c r="E130" s="46">
        <f>L128/'Balance Sheet'!D17</f>
        <v>2.6294676768589726E-2</v>
      </c>
      <c r="F130" s="46">
        <f>M128/'Balance Sheet'!E17</f>
        <v>2.9386941891121961E-2</v>
      </c>
      <c r="G130" s="46">
        <f>N128/'Balance Sheet'!F17</f>
        <v>7.4132886847757415E-2</v>
      </c>
    </row>
    <row r="132" spans="2:7" ht="14.4">
      <c r="B132" s="10" t="s">
        <v>144</v>
      </c>
    </row>
    <row r="133" spans="2:7" ht="14.4">
      <c r="B133" s="4" t="s">
        <v>81</v>
      </c>
      <c r="C133" s="46">
        <v>2.5121787179347967E-2</v>
      </c>
      <c r="D133" s="46">
        <v>3.0347781402047521E-2</v>
      </c>
      <c r="E133" s="46">
        <v>2.6794391390056745E-2</v>
      </c>
      <c r="F133" s="46">
        <v>2.9126761384542073E-2</v>
      </c>
      <c r="G133" s="46">
        <v>1.9300090610075291E-2</v>
      </c>
    </row>
    <row r="134" spans="2:7" ht="14.4">
      <c r="B134" s="34" t="s">
        <v>82</v>
      </c>
      <c r="C134" s="46">
        <f>'Income Statement'!B21/C14</f>
        <v>1.0433798373482352E-2</v>
      </c>
      <c r="D134" s="46">
        <f>'Income Statement'!C21/D15</f>
        <v>4.3921137716463948E-3</v>
      </c>
      <c r="E134" s="46">
        <f>'Income Statement'!D21/E14</f>
        <v>2.0736021819601808E-3</v>
      </c>
      <c r="F134" s="46">
        <f>'Income Statement'!E21/F15</f>
        <v>5.6125451438439515E-3</v>
      </c>
      <c r="G134" s="46">
        <f>'Income Statement'!F21/G14</f>
        <v>-4.5475973795449636E-3</v>
      </c>
    </row>
    <row r="138" spans="2:7" ht="14.4">
      <c r="B138" s="2">
        <v>9715733</v>
      </c>
      <c r="C138" s="2">
        <v>10856997</v>
      </c>
      <c r="D138" s="9">
        <v>7017901</v>
      </c>
      <c r="E138" s="2">
        <v>4431278</v>
      </c>
      <c r="F138" s="2">
        <v>5121686</v>
      </c>
    </row>
    <row r="142" spans="2:7" ht="14.4">
      <c r="D142" s="5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zoomScale="97" zoomScaleNormal="78" workbookViewId="0">
      <selection activeCell="E18" sqref="E18:I18"/>
    </sheetView>
  </sheetViews>
  <sheetFormatPr defaultRowHeight="14.4"/>
  <cols>
    <col min="2" max="2" width="8.88671875" customWidth="1"/>
    <col min="3" max="3" width="46.44140625" bestFit="1" customWidth="1"/>
    <col min="4" max="4" width="102.44140625" bestFit="1" customWidth="1"/>
    <col min="5" max="5" width="20.109375" bestFit="1" customWidth="1"/>
    <col min="6" max="7" width="19" bestFit="1" customWidth="1"/>
    <col min="8" max="9" width="19.44140625" bestFit="1" customWidth="1"/>
    <col min="10" max="11" width="8.88671875" customWidth="1"/>
    <col min="12" max="12" width="33.33203125" customWidth="1"/>
    <col min="13" max="13" width="17.6640625" customWidth="1"/>
    <col min="14" max="14" width="16" customWidth="1"/>
    <col min="15" max="15" width="13.33203125" customWidth="1"/>
    <col min="16" max="17" width="13.33203125" bestFit="1" customWidth="1"/>
  </cols>
  <sheetData>
    <row r="1" spans="1:17" ht="61.2">
      <c r="A1" t="s">
        <v>199</v>
      </c>
      <c r="C1" s="248" t="s">
        <v>247</v>
      </c>
      <c r="D1" s="248"/>
      <c r="E1" s="248"/>
      <c r="F1" s="248"/>
      <c r="G1" s="248"/>
      <c r="H1" s="248"/>
      <c r="I1" s="248"/>
    </row>
    <row r="2" spans="1:17">
      <c r="E2">
        <v>2021</v>
      </c>
      <c r="F2">
        <v>2020</v>
      </c>
      <c r="G2">
        <v>2019</v>
      </c>
      <c r="H2">
        <v>2018</v>
      </c>
      <c r="I2">
        <v>2017</v>
      </c>
    </row>
    <row r="3" spans="1:17">
      <c r="C3" s="116"/>
      <c r="D3" s="118" t="s">
        <v>218</v>
      </c>
      <c r="F3" s="88"/>
      <c r="G3" s="88"/>
      <c r="H3" s="88"/>
      <c r="I3" s="88"/>
    </row>
    <row r="4" spans="1:17">
      <c r="C4" s="117" t="s">
        <v>219</v>
      </c>
      <c r="D4" s="120" t="s">
        <v>220</v>
      </c>
      <c r="E4" s="87">
        <f>SUM(M27/M28)</f>
        <v>0.17336872560295868</v>
      </c>
      <c r="F4" s="87">
        <f>SUM(N27/N28)</f>
        <v>0.19855054586784965</v>
      </c>
      <c r="G4" s="87">
        <f t="shared" ref="G4:I4" si="0">SUM(O27/O28)</f>
        <v>0.16550801169835996</v>
      </c>
      <c r="H4" s="87">
        <f t="shared" si="0"/>
        <v>0.13188185686457357</v>
      </c>
      <c r="I4" s="87">
        <f t="shared" si="0"/>
        <v>0.15737129698491048</v>
      </c>
    </row>
    <row r="5" spans="1:17">
      <c r="C5" s="119" t="s">
        <v>221</v>
      </c>
      <c r="D5" s="121" t="s">
        <v>222</v>
      </c>
      <c r="E5" s="87">
        <f>M27/M29</f>
        <v>7.7150101433810826E-3</v>
      </c>
      <c r="F5" s="87">
        <f t="shared" ref="F5:I5" si="1">N27/N29</f>
        <v>1.0934779795576284E-2</v>
      </c>
      <c r="G5" s="87">
        <f t="shared" si="1"/>
        <v>8.420372806118636E-3</v>
      </c>
      <c r="H5" s="87">
        <f t="shared" si="1"/>
        <v>6.2706816298168455E-3</v>
      </c>
      <c r="I5" s="87">
        <f t="shared" si="1"/>
        <v>7.7257317865974872E-3</v>
      </c>
    </row>
    <row r="6" spans="1:17">
      <c r="C6" s="119" t="s">
        <v>115</v>
      </c>
      <c r="D6" s="121" t="s">
        <v>223</v>
      </c>
      <c r="E6" s="87">
        <f>SUM(M32-M33)/M29</f>
        <v>8.8210074096545781E-3</v>
      </c>
      <c r="F6" s="87">
        <f t="shared" ref="F6:I6" si="2">SUM(N32-N33)/N29</f>
        <v>1.003808026785446E-2</v>
      </c>
      <c r="G6" s="87">
        <f t="shared" si="2"/>
        <v>4.510682648017403E-3</v>
      </c>
      <c r="H6" s="87">
        <f t="shared" si="2"/>
        <v>3.8468480103740765E-3</v>
      </c>
      <c r="I6" s="87">
        <f t="shared" si="2"/>
        <v>1.5884803839699042E-3</v>
      </c>
    </row>
    <row r="7" spans="1:17">
      <c r="C7" s="119" t="s">
        <v>117</v>
      </c>
      <c r="D7" s="121" t="s">
        <v>224</v>
      </c>
      <c r="E7" s="87">
        <f>SUM(M34-M35-M36)/M29</f>
        <v>3.5523015712316738E-3</v>
      </c>
      <c r="F7" s="87">
        <f t="shared" ref="F7:I7" si="3">SUM(N34-N35-N36)/N29</f>
        <v>7.8762705827105477E-3</v>
      </c>
      <c r="G7" s="87">
        <f t="shared" si="3"/>
        <v>7.8359357369726969E-3</v>
      </c>
      <c r="H7" s="87">
        <f t="shared" si="3"/>
        <v>5.6178598605127047E-3</v>
      </c>
      <c r="I7" s="87">
        <f t="shared" si="3"/>
        <v>1.0964767682626378E-2</v>
      </c>
    </row>
    <row r="8" spans="1:17">
      <c r="C8" s="119" t="s">
        <v>225</v>
      </c>
      <c r="D8" s="121" t="s">
        <v>226</v>
      </c>
      <c r="E8" s="87">
        <f>SUM(M31-M30)/M29</f>
        <v>1.6643605039672688E-2</v>
      </c>
      <c r="F8" s="87">
        <f t="shared" ref="F8:I8" si="4">SUM(N31-N30)/N29</f>
        <v>2.0043523376531695E-2</v>
      </c>
      <c r="G8" s="87">
        <f t="shared" si="4"/>
        <v>1.3564801232658222E-2</v>
      </c>
      <c r="H8" s="87">
        <f t="shared" si="4"/>
        <v>1.1308080630257619E-2</v>
      </c>
      <c r="I8" s="87">
        <f t="shared" si="4"/>
        <v>1.1105960240446029E-2</v>
      </c>
    </row>
    <row r="9" spans="1:17">
      <c r="C9" s="119" t="s">
        <v>227</v>
      </c>
      <c r="D9" s="121" t="s">
        <v>228</v>
      </c>
      <c r="E9" s="210">
        <v>7.71</v>
      </c>
      <c r="F9" s="211">
        <v>8.61</v>
      </c>
      <c r="G9" s="212">
        <v>5.58</v>
      </c>
      <c r="H9" s="210">
        <v>3.51</v>
      </c>
      <c r="I9" s="210">
        <v>4.0599999999999996</v>
      </c>
    </row>
    <row r="10" spans="1:17">
      <c r="C10" s="119" t="s">
        <v>120</v>
      </c>
      <c r="D10" s="121" t="s">
        <v>229</v>
      </c>
      <c r="E10" s="87">
        <f>(79118320/E12)-(E13/E14)</f>
        <v>4.5146994157875403E-2</v>
      </c>
      <c r="F10" s="87">
        <f t="shared" ref="F10" si="5">(77569443/F12)-(F13/F14)</f>
        <v>5.5620082758119263E-2</v>
      </c>
      <c r="G10" s="87">
        <f>(71704373/G12)-(G13/G14)</f>
        <v>6.2643853945129863E-2</v>
      </c>
      <c r="H10" s="87">
        <f>(43669883/H12)-(H13/H14)</f>
        <v>3.4260092276836275E-2</v>
      </c>
      <c r="I10" s="87">
        <f>(36267220/I12)-(I13/I14)</f>
        <v>2.6674580597265775E-2</v>
      </c>
    </row>
    <row r="11" spans="1:17" hidden="1">
      <c r="C11" s="122" t="s">
        <v>121</v>
      </c>
      <c r="D11" s="123"/>
      <c r="E11" s="135" t="s">
        <v>35</v>
      </c>
      <c r="F11" s="135" t="s">
        <v>36</v>
      </c>
      <c r="G11" s="135">
        <v>71704373</v>
      </c>
      <c r="H11" s="135">
        <v>43669883</v>
      </c>
      <c r="I11" s="135">
        <v>36267220</v>
      </c>
      <c r="L11" s="114"/>
      <c r="M11" s="7"/>
      <c r="N11" s="7"/>
      <c r="O11" s="7"/>
      <c r="P11" s="7"/>
      <c r="Q11" s="7"/>
    </row>
    <row r="12" spans="1:17" hidden="1">
      <c r="C12" s="122" t="s">
        <v>122</v>
      </c>
      <c r="D12" s="123"/>
      <c r="E12" s="134">
        <v>1154362175</v>
      </c>
      <c r="F12" s="134">
        <v>900147871</v>
      </c>
      <c r="G12" s="134">
        <v>754485153</v>
      </c>
      <c r="H12" s="134">
        <v>646435135</v>
      </c>
      <c r="I12" s="134">
        <v>609263684</v>
      </c>
      <c r="L12" s="114"/>
      <c r="M12" s="6"/>
      <c r="N12" s="6"/>
      <c r="O12" s="6"/>
      <c r="P12" s="6"/>
      <c r="Q12" s="6"/>
    </row>
    <row r="13" spans="1:17" hidden="1">
      <c r="C13" s="122" t="s">
        <v>123</v>
      </c>
      <c r="D13" s="123"/>
      <c r="E13" s="132">
        <v>21320999</v>
      </c>
      <c r="F13" s="132">
        <v>20309105</v>
      </c>
      <c r="G13" s="133">
        <v>18377125</v>
      </c>
      <c r="H13" s="132">
        <v>15891521</v>
      </c>
      <c r="I13" s="132">
        <v>15142197</v>
      </c>
      <c r="L13" s="114"/>
      <c r="M13" s="6"/>
      <c r="N13" s="6"/>
      <c r="O13" s="6"/>
      <c r="P13" s="6"/>
      <c r="Q13" s="6"/>
    </row>
    <row r="14" spans="1:17" ht="16.2" hidden="1">
      <c r="C14" s="122" t="s">
        <v>72</v>
      </c>
      <c r="D14" s="123"/>
      <c r="E14" s="133">
        <v>911482373</v>
      </c>
      <c r="F14" s="133">
        <v>664694832</v>
      </c>
      <c r="G14" s="133">
        <v>567306696</v>
      </c>
      <c r="H14" s="133">
        <v>477296785</v>
      </c>
      <c r="I14" s="133">
        <v>460925390</v>
      </c>
      <c r="L14" s="114"/>
      <c r="M14" s="6"/>
      <c r="N14" s="11"/>
      <c r="O14" s="6"/>
      <c r="P14" s="11"/>
      <c r="Q14" s="6"/>
    </row>
    <row r="15" spans="1:17" ht="16.2">
      <c r="C15" s="124"/>
      <c r="D15" s="121"/>
      <c r="E15" s="87"/>
      <c r="F15" s="87"/>
      <c r="G15" s="87"/>
      <c r="H15" s="87"/>
      <c r="I15" s="87"/>
      <c r="L15" s="114"/>
      <c r="M15" s="6"/>
      <c r="N15" s="11"/>
      <c r="O15" s="6"/>
      <c r="P15" s="6"/>
      <c r="Q15" s="14"/>
    </row>
    <row r="16" spans="1:17" ht="16.2">
      <c r="C16" s="117" t="s">
        <v>219</v>
      </c>
      <c r="D16" s="120" t="s">
        <v>230</v>
      </c>
      <c r="E16" s="87">
        <f>Sheet1!C88*Sheet1!C89*Sheet1!C90</f>
        <v>0.17336872560295868</v>
      </c>
      <c r="F16" s="87">
        <f>Sheet1!D88*Sheet1!D89*Sheet1!D90</f>
        <v>0.19855054586784968</v>
      </c>
      <c r="G16" s="87">
        <f>Sheet1!E88*Sheet1!E89*Sheet1!E90</f>
        <v>0.16550801169835999</v>
      </c>
      <c r="H16" s="87">
        <f>Sheet1!F88*Sheet1!F89*Sheet1!F90</f>
        <v>0.13188185686457357</v>
      </c>
      <c r="I16" s="87">
        <f>Sheet1!G88*Sheet1!G89*Sheet1!G90</f>
        <v>0.15737129698491045</v>
      </c>
      <c r="L16" s="114"/>
      <c r="M16" s="6">
        <v>291805374</v>
      </c>
      <c r="N16" s="11">
        <v>273510554</v>
      </c>
      <c r="O16" s="6">
        <v>223592292</v>
      </c>
      <c r="P16" s="6">
        <v>195687420</v>
      </c>
      <c r="Q16" s="6">
        <v>169327257</v>
      </c>
    </row>
    <row r="17" spans="3:17">
      <c r="C17" s="119" t="s">
        <v>231</v>
      </c>
      <c r="D17" s="121" t="s">
        <v>222</v>
      </c>
      <c r="E17" s="134">
        <f>SUM(M27/M29)</f>
        <v>7.7150101433810826E-3</v>
      </c>
      <c r="F17" s="134">
        <f t="shared" ref="F17:I17" si="6">SUM(N27/N29)</f>
        <v>1.0934779795576284E-2</v>
      </c>
      <c r="G17" s="134">
        <f t="shared" si="6"/>
        <v>8.420372806118636E-3</v>
      </c>
      <c r="H17" s="134">
        <f t="shared" si="6"/>
        <v>6.2706816298168455E-3</v>
      </c>
      <c r="I17" s="134">
        <f t="shared" si="6"/>
        <v>7.7257317865974872E-3</v>
      </c>
      <c r="L17" s="130" t="s">
        <v>250</v>
      </c>
      <c r="M17" s="129">
        <f>'Balance Sheet'!B26-'Profitability Ratios'!M16</f>
        <v>911482373</v>
      </c>
      <c r="N17" s="129">
        <f>'Balance Sheet'!C26-'Profitability Ratios'!N16</f>
        <v>664694832</v>
      </c>
      <c r="O17" s="129">
        <f>'Balance Sheet'!D26-'Profitability Ratios'!O16</f>
        <v>567306696</v>
      </c>
      <c r="P17" s="129">
        <f>'Balance Sheet'!E26-'Profitability Ratios'!P16</f>
        <v>477296785</v>
      </c>
      <c r="Q17" s="129">
        <f>'Balance Sheet'!F26-'Profitability Ratios'!Q16</f>
        <v>460925390</v>
      </c>
    </row>
    <row r="18" spans="3:17">
      <c r="C18" s="119" t="s">
        <v>232</v>
      </c>
      <c r="D18" s="121" t="s">
        <v>233</v>
      </c>
      <c r="E18" s="134">
        <f>Sheet1!C31/Sheet1!C30</f>
        <v>22.471613436788079</v>
      </c>
      <c r="F18" s="134">
        <f>Sheet1!D31/Sheet1!D30</f>
        <v>18.157708667180859</v>
      </c>
      <c r="G18" s="134">
        <f>Sheet1!E31/Sheet1!E30</f>
        <v>19.655663176586923</v>
      </c>
      <c r="H18" s="134">
        <f>P29/P28</f>
        <v>21.031502578201465</v>
      </c>
      <c r="I18" s="134">
        <f>Q29/Q28</f>
        <v>20.369759309780392</v>
      </c>
    </row>
    <row r="19" spans="3:17">
      <c r="C19" s="119" t="s">
        <v>234</v>
      </c>
      <c r="D19" s="121" t="s">
        <v>235</v>
      </c>
      <c r="E19" s="87">
        <f>Sheet1!J20/(Sheet1!J18+Sheet1!J19)</f>
        <v>0.11152505742246227</v>
      </c>
      <c r="F19" s="87">
        <f>Sheet1!K20/(Sheet1!K18+Sheet1!K19)</f>
        <v>0.12204157845431043</v>
      </c>
      <c r="G19" s="87">
        <f>Sheet1!L20/(Sheet1!L18+Sheet1!L19)</f>
        <v>8.8712461777605639E-2</v>
      </c>
      <c r="H19" s="87">
        <f>Sheet1!M20/(Sheet1!M18+Sheet1!M19)</f>
        <v>8.9899478765862073E-2</v>
      </c>
      <c r="I19" s="87">
        <f>Sheet1!N20/(Sheet1!N18+Sheet1!N19)</f>
        <v>0.12084200852203097</v>
      </c>
      <c r="L19" s="1"/>
      <c r="M19" s="2"/>
      <c r="N19" s="2"/>
      <c r="O19" s="2"/>
      <c r="P19" s="127"/>
      <c r="Q19" s="2"/>
    </row>
    <row r="20" spans="3:17">
      <c r="C20" s="119" t="s">
        <v>236</v>
      </c>
      <c r="D20" s="121" t="s">
        <v>237</v>
      </c>
      <c r="E20" s="134">
        <f>Sheet1!C32/Sheet1!C31</f>
        <v>8.8210074096545781E-3</v>
      </c>
      <c r="F20" s="134">
        <f>Sheet1!D32/Sheet1!D31</f>
        <v>1.003808026785446E-2</v>
      </c>
      <c r="G20" s="134">
        <f>Sheet1!E32/Sheet1!E31</f>
        <v>4.510682648017403E-3</v>
      </c>
      <c r="H20" s="134">
        <f>Sheet1!F32/Sheet1!F31</f>
        <v>3.8468480103740765E-3</v>
      </c>
      <c r="I20" s="134">
        <f>Sheet1!G32/Sheet1!G31</f>
        <v>1.5884803839699042E-3</v>
      </c>
      <c r="L20" s="1"/>
      <c r="M20" s="4"/>
      <c r="N20" s="4"/>
      <c r="O20" s="2"/>
      <c r="P20" s="4"/>
      <c r="Q20" s="2"/>
    </row>
    <row r="21" spans="3:17">
      <c r="C21" s="119"/>
      <c r="D21" s="121"/>
      <c r="E21" s="87"/>
      <c r="F21" s="87"/>
      <c r="G21" s="87"/>
      <c r="H21" s="87"/>
      <c r="I21" s="87"/>
      <c r="L21" s="1"/>
      <c r="M21" s="127"/>
      <c r="N21" s="127"/>
      <c r="O21" s="127"/>
      <c r="P21" s="127"/>
      <c r="Q21" s="127"/>
    </row>
    <row r="22" spans="3:17">
      <c r="C22" s="117" t="s">
        <v>219</v>
      </c>
      <c r="D22" s="120" t="s">
        <v>238</v>
      </c>
      <c r="E22" s="87">
        <f>E23*E24*E25*E26</f>
        <v>0.17336872560295868</v>
      </c>
      <c r="F22" s="87">
        <f>F23*F24*F25*F26</f>
        <v>0.19855054586784968</v>
      </c>
      <c r="G22" s="87">
        <f>G23*G24*G25*G26</f>
        <v>0.16550801169835996</v>
      </c>
      <c r="H22" s="87">
        <f>H23*H24*H25*H26</f>
        <v>0.13188185686457354</v>
      </c>
      <c r="I22" s="87">
        <f>I23*I24*I25*I26</f>
        <v>0.15737129698491045</v>
      </c>
      <c r="L22" s="1"/>
      <c r="M22" s="129">
        <v>104966435</v>
      </c>
      <c r="N22" s="2">
        <v>92738790</v>
      </c>
      <c r="O22" s="2">
        <v>78957874</v>
      </c>
      <c r="P22" s="2">
        <v>60230944</v>
      </c>
      <c r="Q22" s="2">
        <v>53674940</v>
      </c>
    </row>
    <row r="23" spans="3:17">
      <c r="C23" s="119" t="s">
        <v>239</v>
      </c>
      <c r="D23" s="121" t="s">
        <v>240</v>
      </c>
      <c r="E23" s="87">
        <f>Sheet1!C29/'Income Statement'!B23</f>
        <v>0.61993417516786575</v>
      </c>
      <c r="F23" s="87">
        <f>Sheet1!D29/'Income Statement'!C23</f>
        <v>0.60874432277217427</v>
      </c>
      <c r="G23" s="87">
        <f>Sheet1!E29/'Income Statement'!D23</f>
        <v>0.67543789069455207</v>
      </c>
      <c r="H23" s="87">
        <f>Sheet1!F29/'Income Statement'!E23</f>
        <v>0.64413212965271227</v>
      </c>
      <c r="I23" s="87">
        <f>Sheet1!G29/'Income Statement'!F23</f>
        <v>0.61369888160241548</v>
      </c>
      <c r="L23" s="128" t="s">
        <v>249</v>
      </c>
      <c r="M23" s="129">
        <f>'Balance Sheet'!B17-'Profitability Ratios'!M22</f>
        <v>1154362175</v>
      </c>
      <c r="N23" s="129">
        <f>'Balance Sheet'!C17-'Profitability Ratios'!N22</f>
        <v>900147871</v>
      </c>
      <c r="O23" s="129">
        <f>'Balance Sheet'!D17-'Profitability Ratios'!O22</f>
        <v>754485153</v>
      </c>
      <c r="P23" s="129">
        <f>'Balance Sheet'!E17-'Profitability Ratios'!P22</f>
        <v>646435135</v>
      </c>
      <c r="Q23" s="129">
        <f>'Balance Sheet'!F17-'Profitability Ratios'!Q22</f>
        <v>609263684</v>
      </c>
    </row>
    <row r="24" spans="3:17">
      <c r="C24" s="119" t="s">
        <v>241</v>
      </c>
      <c r="D24" s="121" t="s">
        <v>242</v>
      </c>
      <c r="E24" s="87">
        <f>'Income Statement'!B23/Sheet1!C32</f>
        <v>1.4108236657773514</v>
      </c>
      <c r="F24" s="87">
        <f>'Income Statement'!C23/Sheet1!D32</f>
        <v>1.7894701302620855</v>
      </c>
      <c r="G24" s="87">
        <f>'Income Statement'!D23/Sheet1!E32</f>
        <v>2.7637809999848382</v>
      </c>
      <c r="H24" s="87">
        <f>'Income Statement'!E23/Sheet1!F32</f>
        <v>2.5306655993867064</v>
      </c>
      <c r="I24" s="87">
        <f>'Income Statement'!F23/Sheet1!G32</f>
        <v>7.9250578074477831</v>
      </c>
    </row>
    <row r="25" spans="3:17">
      <c r="C25" s="119" t="s">
        <v>243</v>
      </c>
      <c r="D25" s="121" t="s">
        <v>244</v>
      </c>
      <c r="E25" s="87">
        <f>Sheet1!C32/Sheet1!C31</f>
        <v>8.8210074096545781E-3</v>
      </c>
      <c r="F25" s="87">
        <f>Sheet1!D32/Sheet1!D31</f>
        <v>1.003808026785446E-2</v>
      </c>
      <c r="G25" s="87">
        <f>Sheet1!E32/Sheet1!E31</f>
        <v>4.510682648017403E-3</v>
      </c>
      <c r="H25" s="87">
        <f>Sheet1!F32/Sheet1!F31</f>
        <v>3.8468480103740765E-3</v>
      </c>
      <c r="I25" s="87">
        <f>Sheet1!G32/Sheet1!G31</f>
        <v>1.5884803839699042E-3</v>
      </c>
    </row>
    <row r="26" spans="3:17">
      <c r="C26" s="119" t="s">
        <v>245</v>
      </c>
      <c r="D26" s="121" t="s">
        <v>246</v>
      </c>
      <c r="E26" s="87">
        <f>M29/M28</f>
        <v>22.471613436788079</v>
      </c>
      <c r="F26" s="87">
        <f>N29/N28</f>
        <v>18.157708667180859</v>
      </c>
      <c r="G26" s="87">
        <f>O29/O28</f>
        <v>19.655663176586923</v>
      </c>
      <c r="H26" s="87">
        <f>P29/P28</f>
        <v>21.031502578201465</v>
      </c>
      <c r="I26" s="87">
        <f>Q29/Q28</f>
        <v>20.369759309780392</v>
      </c>
      <c r="M26">
        <v>2021</v>
      </c>
      <c r="N26">
        <v>2020</v>
      </c>
      <c r="O26">
        <v>2019</v>
      </c>
      <c r="P26">
        <v>2018</v>
      </c>
      <c r="Q26">
        <v>2017</v>
      </c>
    </row>
    <row r="27" spans="3:17" ht="18">
      <c r="C27" s="119"/>
      <c r="D27" s="115"/>
      <c r="L27" s="1" t="s">
        <v>57</v>
      </c>
      <c r="M27" s="2">
        <v>9715733</v>
      </c>
      <c r="N27" s="2">
        <v>10856997</v>
      </c>
      <c r="O27" s="9">
        <v>7017901</v>
      </c>
      <c r="P27" s="2">
        <v>4431278</v>
      </c>
      <c r="Q27" s="2">
        <v>5121686</v>
      </c>
    </row>
    <row r="28" spans="3:17" ht="18">
      <c r="D28" s="115"/>
      <c r="L28" s="57" t="s">
        <v>33</v>
      </c>
      <c r="M28" s="2">
        <v>56040863</v>
      </c>
      <c r="N28" s="2">
        <v>54681275</v>
      </c>
      <c r="O28" s="2">
        <v>42402183</v>
      </c>
      <c r="P28" s="2">
        <v>33600361</v>
      </c>
      <c r="Q28" s="2">
        <v>32545236</v>
      </c>
    </row>
    <row r="29" spans="3:17">
      <c r="G29" s="73"/>
      <c r="L29" s="8" t="s">
        <v>13</v>
      </c>
      <c r="M29" s="2">
        <v>1259328610</v>
      </c>
      <c r="N29" s="2">
        <v>992886661</v>
      </c>
      <c r="O29" s="9">
        <v>833443027</v>
      </c>
      <c r="P29" s="2">
        <v>706666079</v>
      </c>
      <c r="Q29" s="2">
        <v>662938624</v>
      </c>
    </row>
    <row r="30" spans="3:17">
      <c r="L30" s="1" t="s">
        <v>49</v>
      </c>
      <c r="M30" s="2">
        <v>21017376</v>
      </c>
      <c r="N30" s="2">
        <v>20217974</v>
      </c>
      <c r="O30" s="9">
        <v>18235061</v>
      </c>
      <c r="P30" s="2">
        <v>16240514</v>
      </c>
      <c r="Q30" s="2">
        <v>14948796</v>
      </c>
    </row>
    <row r="31" spans="3:17">
      <c r="L31" s="1" t="s">
        <v>47</v>
      </c>
      <c r="M31" s="2">
        <v>41977144</v>
      </c>
      <c r="N31" s="2">
        <v>40118921</v>
      </c>
      <c r="O31" s="9">
        <v>29540550</v>
      </c>
      <c r="P31" s="2">
        <v>24231551</v>
      </c>
      <c r="Q31" s="2">
        <v>22311366</v>
      </c>
    </row>
    <row r="32" spans="3:17">
      <c r="L32" s="1" t="s">
        <v>38</v>
      </c>
      <c r="M32" s="2">
        <v>32429546</v>
      </c>
      <c r="N32" s="2">
        <v>30275781</v>
      </c>
      <c r="O32" s="9">
        <v>22136522</v>
      </c>
      <c r="P32" s="2">
        <v>18609958</v>
      </c>
      <c r="Q32" s="2">
        <v>16195262</v>
      </c>
    </row>
    <row r="33" spans="12:18">
      <c r="L33" s="86" t="s">
        <v>248</v>
      </c>
      <c r="M33" s="2">
        <v>21320999</v>
      </c>
      <c r="N33" s="2">
        <v>20309105</v>
      </c>
      <c r="O33" s="9">
        <v>18377125</v>
      </c>
      <c r="P33" s="2">
        <v>15891521</v>
      </c>
      <c r="Q33" s="2">
        <v>15142197</v>
      </c>
    </row>
    <row r="34" spans="12:18">
      <c r="L34" s="1" t="s">
        <v>46</v>
      </c>
      <c r="M34" s="2">
        <v>9547598</v>
      </c>
      <c r="N34" s="2">
        <v>9843140</v>
      </c>
      <c r="O34" s="9">
        <v>7404028</v>
      </c>
      <c r="P34" s="2">
        <v>5621593</v>
      </c>
      <c r="Q34" s="2">
        <v>6116104</v>
      </c>
    </row>
    <row r="35" spans="12:18">
      <c r="L35" s="1" t="s">
        <v>51</v>
      </c>
      <c r="M35" s="127">
        <v>90139</v>
      </c>
      <c r="N35" s="127">
        <v>48149</v>
      </c>
      <c r="O35" s="127">
        <v>99947</v>
      </c>
      <c r="P35" s="127">
        <v>191067</v>
      </c>
      <c r="Q35" s="127">
        <v>23568</v>
      </c>
    </row>
    <row r="36" spans="12:18">
      <c r="L36" s="1" t="s">
        <v>53</v>
      </c>
      <c r="M36" s="125">
        <v>4983944</v>
      </c>
      <c r="N36" s="125">
        <v>1974747</v>
      </c>
      <c r="O36" s="127">
        <v>773275</v>
      </c>
      <c r="P36" s="127">
        <v>1460575</v>
      </c>
      <c r="Q36" s="127">
        <v>-1176432</v>
      </c>
    </row>
    <row r="37" spans="12:18">
      <c r="L37" s="8" t="s">
        <v>251</v>
      </c>
      <c r="M37" s="2">
        <v>21320999</v>
      </c>
      <c r="N37" s="2">
        <v>20309105</v>
      </c>
      <c r="O37" s="9">
        <v>18377125</v>
      </c>
      <c r="P37" s="2">
        <v>15891521</v>
      </c>
      <c r="Q37" s="2">
        <v>15142197</v>
      </c>
      <c r="R37" s="2"/>
    </row>
    <row r="38" spans="12:18">
      <c r="L38" s="8" t="s">
        <v>252</v>
      </c>
      <c r="M38" s="126">
        <f>SUM(M32-M37)</f>
        <v>11108547</v>
      </c>
      <c r="N38" s="126">
        <f>SUM(N32-N37)</f>
        <v>9966676</v>
      </c>
      <c r="O38" s="126">
        <f t="shared" ref="O38:Q38" si="7">SUM(O32-O37)</f>
        <v>3759397</v>
      </c>
      <c r="P38" s="126">
        <f t="shared" si="7"/>
        <v>2718437</v>
      </c>
      <c r="Q38" s="126">
        <f t="shared" si="7"/>
        <v>1053065</v>
      </c>
    </row>
  </sheetData>
  <mergeCells count="1">
    <mergeCell ref="C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topLeftCell="A12" zoomScale="80" zoomScaleNormal="80" workbookViewId="0">
      <selection activeCell="A23" sqref="A23"/>
    </sheetView>
  </sheetViews>
  <sheetFormatPr defaultRowHeight="14.4"/>
  <cols>
    <col min="1" max="1" width="64.33203125" bestFit="1" customWidth="1"/>
    <col min="2" max="2" width="13.5546875" style="80" bestFit="1" customWidth="1"/>
    <col min="3" max="7" width="15.88671875" bestFit="1" customWidth="1"/>
    <col min="8" max="8" width="29.5546875" bestFit="1" customWidth="1"/>
    <col min="9" max="9" width="17.44140625" bestFit="1" customWidth="1"/>
    <col min="10" max="13" width="15.88671875" bestFit="1" customWidth="1"/>
  </cols>
  <sheetData>
    <row r="1" spans="1:13" ht="23.4">
      <c r="A1" s="252" t="s">
        <v>200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</row>
    <row r="2" spans="1:13">
      <c r="A2" s="155"/>
      <c r="B2" s="155"/>
      <c r="C2" s="166">
        <v>2021</v>
      </c>
      <c r="D2" s="166">
        <v>2020</v>
      </c>
      <c r="E2" s="166">
        <v>2019</v>
      </c>
      <c r="F2" s="166">
        <v>2018</v>
      </c>
      <c r="G2" s="166">
        <v>2017</v>
      </c>
    </row>
    <row r="3" spans="1:13">
      <c r="A3" s="155" t="s">
        <v>81</v>
      </c>
      <c r="B3" s="136"/>
      <c r="C3" s="177">
        <f>B25/B26</f>
        <v>6.5244059355732256E-2</v>
      </c>
      <c r="D3" s="177">
        <f t="shared" ref="D3:G3" si="0">C25/C26</f>
        <v>7.2673829594501416E-2</v>
      </c>
      <c r="E3" s="177">
        <f t="shared" si="0"/>
        <v>7.5438513527685089E-2</v>
      </c>
      <c r="F3" s="177">
        <f t="shared" si="0"/>
        <v>7.7693181949369305E-2</v>
      </c>
      <c r="G3" s="177">
        <f t="shared" si="0"/>
        <v>0.10341608820577447</v>
      </c>
    </row>
    <row r="4" spans="1:13">
      <c r="A4" s="155" t="s">
        <v>82</v>
      </c>
      <c r="B4" s="136"/>
      <c r="C4" s="177">
        <f>B27/B26</f>
        <v>1.0433798373482352E-2</v>
      </c>
      <c r="D4" s="177">
        <f t="shared" ref="D4:G4" si="1">C27/C26</f>
        <v>4.994099190029095E-3</v>
      </c>
      <c r="E4" s="177">
        <f t="shared" si="1"/>
        <v>2.0734617378114599E-3</v>
      </c>
      <c r="F4" s="177">
        <f t="shared" si="1"/>
        <v>4.2569063710001936E-3</v>
      </c>
      <c r="G4" s="177">
        <f t="shared" si="1"/>
        <v>-4.5475973795449636E-3</v>
      </c>
    </row>
    <row r="5" spans="1:13">
      <c r="A5" s="155" t="s">
        <v>146</v>
      </c>
      <c r="B5" s="136"/>
      <c r="C5" s="177">
        <f>B28/B26</f>
        <v>5.9703874170226844E-2</v>
      </c>
      <c r="D5" s="177">
        <f t="shared" ref="D5:G5" si="2">C28/C26</f>
        <v>6.2771662116754459E-2</v>
      </c>
      <c r="E5" s="177">
        <f t="shared" si="2"/>
        <v>6.5447829310865374E-2</v>
      </c>
      <c r="F5" s="177">
        <f t="shared" si="2"/>
        <v>7.3193371865261675E-2</v>
      </c>
      <c r="G5" s="177">
        <f t="shared" si="2"/>
        <v>0.10903793926676494</v>
      </c>
    </row>
    <row r="6" spans="1:13">
      <c r="A6" s="155" t="s">
        <v>145</v>
      </c>
      <c r="B6" s="136"/>
      <c r="C6" s="177">
        <f>B28/B30</f>
        <v>0.50889526808321994</v>
      </c>
      <c r="D6" s="177">
        <f t="shared" ref="D6:G6" si="3">C28/C30</f>
        <v>0.45391997534805106</v>
      </c>
      <c r="E6" s="177">
        <f t="shared" si="3"/>
        <v>0.57563206120779209</v>
      </c>
      <c r="F6" s="177">
        <f t="shared" si="3"/>
        <v>0.74740771386355043</v>
      </c>
      <c r="G6" s="177">
        <f t="shared" si="3"/>
        <v>0.8667124429517119</v>
      </c>
    </row>
    <row r="7" spans="1:13">
      <c r="A7" s="155" t="s">
        <v>147</v>
      </c>
      <c r="B7" s="136"/>
      <c r="C7" s="177">
        <f>B31/B26</f>
        <v>6.3282234096946763E-2</v>
      </c>
      <c r="D7" s="177">
        <f t="shared" ref="D7:G7" si="4">C31/C26</f>
        <v>6.6881578695634908E-2</v>
      </c>
      <c r="E7" s="177">
        <f t="shared" si="4"/>
        <v>6.8737620935354696E-2</v>
      </c>
      <c r="F7" s="177">
        <f t="shared" si="4"/>
        <v>7.6220574909796321E-2</v>
      </c>
      <c r="G7" s="177">
        <f t="shared" si="4"/>
        <v>9.9139039224264383E-2</v>
      </c>
    </row>
    <row r="8" spans="1:13">
      <c r="A8" s="155" t="s">
        <v>154</v>
      </c>
      <c r="B8" s="136"/>
      <c r="C8" s="177">
        <f>B31/B30</f>
        <v>0.53939597611121726</v>
      </c>
      <c r="D8" s="177">
        <f t="shared" ref="D8:G8" si="5">C31/C30</f>
        <v>0.48363996633216766</v>
      </c>
      <c r="E8" s="177">
        <f t="shared" si="5"/>
        <v>0.60456670355863518</v>
      </c>
      <c r="F8" s="177">
        <f t="shared" si="5"/>
        <v>0.77831973293382173</v>
      </c>
      <c r="G8" s="177">
        <f t="shared" si="5"/>
        <v>0.78802882240583538</v>
      </c>
    </row>
    <row r="9" spans="1:13">
      <c r="A9" s="155" t="s">
        <v>156</v>
      </c>
      <c r="B9" s="136"/>
      <c r="C9" s="177">
        <f>B25/B30</f>
        <v>0.55611789918367249</v>
      </c>
      <c r="D9" s="177">
        <f t="shared" ref="D9:G9" si="6">C25/C30</f>
        <v>0.52552540151999017</v>
      </c>
      <c r="E9" s="177">
        <f t="shared" si="6"/>
        <v>0.66350293804448701</v>
      </c>
      <c r="F9" s="177">
        <f t="shared" si="6"/>
        <v>0.79335713089511151</v>
      </c>
      <c r="G9" s="177">
        <f t="shared" si="6"/>
        <v>0.82202590265438547</v>
      </c>
    </row>
    <row r="10" spans="1:13">
      <c r="A10" s="136"/>
      <c r="B10" s="136"/>
      <c r="C10" s="168"/>
      <c r="D10" s="168"/>
      <c r="E10" s="168"/>
      <c r="F10" s="168"/>
      <c r="G10" s="168"/>
    </row>
    <row r="11" spans="1:13" ht="23.4">
      <c r="A11" s="251" t="s">
        <v>201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</row>
    <row r="12" spans="1:13">
      <c r="A12" s="155"/>
      <c r="B12" s="155"/>
      <c r="C12" s="166">
        <v>2021</v>
      </c>
      <c r="D12" s="166">
        <v>2020</v>
      </c>
      <c r="E12" s="166">
        <v>2019</v>
      </c>
      <c r="F12" s="166">
        <v>2018</v>
      </c>
      <c r="G12" s="166">
        <v>2017</v>
      </c>
    </row>
    <row r="13" spans="1:13">
      <c r="A13" s="155" t="s">
        <v>202</v>
      </c>
      <c r="B13" s="136"/>
      <c r="C13" s="177">
        <f>B29/B32</f>
        <v>4.0426363377863699E-2</v>
      </c>
      <c r="D13" s="177">
        <f t="shared" ref="D13:G13" si="7">C29/C32</f>
        <v>3.0257862432900587E-2</v>
      </c>
      <c r="E13" s="177">
        <f t="shared" si="7"/>
        <v>2.6294676768589726E-2</v>
      </c>
      <c r="F13" s="177">
        <f t="shared" si="7"/>
        <v>2.9386941891121961E-2</v>
      </c>
      <c r="G13" s="177">
        <f t="shared" si="7"/>
        <v>7.4132886847757415E-2</v>
      </c>
    </row>
    <row r="14" spans="1:13">
      <c r="A14" s="155" t="s">
        <v>138</v>
      </c>
      <c r="B14" s="136"/>
      <c r="C14" s="177">
        <f>B26/B32</f>
        <v>0.37930768681575494</v>
      </c>
      <c r="D14" s="177">
        <f t="shared" ref="D14:G14" si="8">C26/C32</f>
        <v>0.39824893467875888</v>
      </c>
      <c r="E14" s="177">
        <f t="shared" si="8"/>
        <v>0.44746804510729921</v>
      </c>
      <c r="F14" s="177">
        <f t="shared" si="8"/>
        <v>0.48552938537184265</v>
      </c>
      <c r="G14" s="177">
        <f t="shared" si="8"/>
        <v>0.39022177413515735</v>
      </c>
    </row>
    <row r="15" spans="1:13">
      <c r="A15" s="155" t="s">
        <v>140</v>
      </c>
      <c r="B15" s="136"/>
      <c r="C15" s="177">
        <f>B33/B32</f>
        <v>7.3839710510507653E-2</v>
      </c>
      <c r="D15" s="177">
        <f t="shared" ref="D15:G15" si="9">C33/C32</f>
        <v>8.2434247749451836E-2</v>
      </c>
      <c r="E15" s="177">
        <f t="shared" si="9"/>
        <v>8.5099988484275843E-2</v>
      </c>
      <c r="F15" s="177">
        <f t="shared" si="9"/>
        <v>7.539777071993857E-2</v>
      </c>
      <c r="G15" s="177">
        <f t="shared" si="9"/>
        <v>7.1549851347928101E-2</v>
      </c>
    </row>
    <row r="16" spans="1:13">
      <c r="A16" s="155" t="s">
        <v>142</v>
      </c>
      <c r="B16" s="136"/>
      <c r="C16" s="177">
        <f>B34/B32</f>
        <v>0.49163911077983052</v>
      </c>
      <c r="D16" s="177">
        <f t="shared" ref="D16:G16" si="10">C34/C32</f>
        <v>0.45429141685286473</v>
      </c>
      <c r="E16" s="177">
        <f t="shared" si="10"/>
        <v>0.35661814709741402</v>
      </c>
      <c r="F16" s="177">
        <f t="shared" si="10"/>
        <v>0.36986264201313107</v>
      </c>
      <c r="G16" s="177">
        <f t="shared" si="10"/>
        <v>0.47377403673496027</v>
      </c>
    </row>
    <row r="17" spans="1:13">
      <c r="A17" s="136"/>
      <c r="B17" s="136"/>
      <c r="C17" s="168"/>
      <c r="D17" s="168"/>
      <c r="E17" s="168"/>
      <c r="F17" s="168"/>
      <c r="G17" s="168"/>
    </row>
    <row r="18" spans="1:13" ht="23.4">
      <c r="A18" s="251" t="s">
        <v>203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</row>
    <row r="19" spans="1:13">
      <c r="A19" s="155"/>
      <c r="B19" s="155"/>
      <c r="C19" s="166">
        <v>2021</v>
      </c>
      <c r="D19" s="166">
        <v>2020</v>
      </c>
      <c r="E19" s="166">
        <v>2019</v>
      </c>
      <c r="F19" s="166">
        <v>2018</v>
      </c>
      <c r="G19" s="166">
        <v>2017</v>
      </c>
    </row>
    <row r="20" spans="1:13">
      <c r="A20" s="155" t="s">
        <v>91</v>
      </c>
      <c r="B20" s="136"/>
      <c r="C20" s="167">
        <f>B61/B60</f>
        <v>1.0864371949602254</v>
      </c>
      <c r="D20" s="167">
        <f t="shared" ref="D20:G20" si="11">C61/C60</f>
        <v>1.1306288928890518</v>
      </c>
      <c r="E20" s="167">
        <f t="shared" si="11"/>
        <v>1.0689496711236501</v>
      </c>
      <c r="F20" s="167">
        <f t="shared" si="11"/>
        <v>1.0174414625426034</v>
      </c>
      <c r="G20" s="167">
        <f t="shared" si="11"/>
        <v>1.0644902664596125</v>
      </c>
    </row>
    <row r="21" spans="1:13">
      <c r="A21" s="155" t="s">
        <v>92</v>
      </c>
      <c r="B21" s="136"/>
      <c r="C21" s="167">
        <f>B37/B40</f>
        <v>2.0145322434150774</v>
      </c>
      <c r="D21" s="167">
        <f t="shared" ref="D21:G21" si="12">C37/C40</f>
        <v>1.8503634031637453</v>
      </c>
      <c r="E21" s="167">
        <f t="shared" si="12"/>
        <v>1.8085221143473571</v>
      </c>
      <c r="F21" s="167">
        <f t="shared" si="12"/>
        <v>1.1116220735785953</v>
      </c>
      <c r="G21" s="167">
        <f t="shared" si="12"/>
        <v>1.332988089073019</v>
      </c>
    </row>
    <row r="22" spans="1:13">
      <c r="A22" s="136"/>
      <c r="B22" s="136"/>
      <c r="C22" s="168"/>
      <c r="D22" s="168"/>
      <c r="E22" s="168"/>
      <c r="F22" s="168"/>
      <c r="G22" s="168"/>
    </row>
    <row r="23" spans="1:13" hidden="1">
      <c r="A23" s="136"/>
      <c r="B23" s="136"/>
      <c r="C23" s="168"/>
      <c r="D23" s="168"/>
      <c r="E23" s="168"/>
      <c r="F23" s="168"/>
      <c r="G23" s="168"/>
    </row>
    <row r="24" spans="1:13" hidden="1">
      <c r="A24" s="155" t="s">
        <v>76</v>
      </c>
      <c r="B24" s="156">
        <v>2021</v>
      </c>
      <c r="C24" s="169">
        <v>2020</v>
      </c>
      <c r="D24" s="169">
        <v>2019</v>
      </c>
      <c r="E24" s="169">
        <v>2018</v>
      </c>
      <c r="F24" s="169">
        <v>2017</v>
      </c>
      <c r="G24" s="168"/>
      <c r="H24" s="85" t="s">
        <v>76</v>
      </c>
      <c r="I24" s="1">
        <v>2021</v>
      </c>
      <c r="J24" s="1">
        <v>2020</v>
      </c>
      <c r="K24" s="1">
        <v>2019</v>
      </c>
      <c r="L24" s="1">
        <v>2018</v>
      </c>
      <c r="M24" s="1">
        <v>2017</v>
      </c>
    </row>
    <row r="25" spans="1:13" hidden="1">
      <c r="A25" s="155" t="s">
        <v>204</v>
      </c>
      <c r="B25" s="157">
        <v>31165327</v>
      </c>
      <c r="C25" s="170">
        <v>28736399</v>
      </c>
      <c r="D25" s="170">
        <v>28133973</v>
      </c>
      <c r="E25" s="170">
        <v>26657086</v>
      </c>
      <c r="F25" s="170">
        <v>26753027</v>
      </c>
      <c r="G25" s="168"/>
      <c r="H25" s="85" t="s">
        <v>214</v>
      </c>
      <c r="I25" s="110">
        <v>1222420697</v>
      </c>
      <c r="J25" s="110">
        <v>956675071</v>
      </c>
      <c r="K25" s="110">
        <v>786642860</v>
      </c>
      <c r="L25" s="110">
        <v>667452221</v>
      </c>
      <c r="M25" s="110">
        <v>633359777</v>
      </c>
    </row>
    <row r="26" spans="1:13" hidden="1">
      <c r="A26" s="155" t="s">
        <v>139</v>
      </c>
      <c r="B26" s="158">
        <v>477673022</v>
      </c>
      <c r="C26" s="171">
        <v>395416055</v>
      </c>
      <c r="D26" s="171">
        <v>372939122</v>
      </c>
      <c r="E26" s="171">
        <v>343107147</v>
      </c>
      <c r="F26" s="171">
        <v>258693086</v>
      </c>
      <c r="G26" s="168"/>
      <c r="H26" s="85" t="s">
        <v>215</v>
      </c>
      <c r="I26" s="110">
        <v>927695864</v>
      </c>
      <c r="J26" s="110">
        <v>904149338</v>
      </c>
      <c r="K26" s="110">
        <v>762804062</v>
      </c>
      <c r="L26" s="110">
        <v>622539224</v>
      </c>
      <c r="M26" s="110">
        <v>622539224</v>
      </c>
    </row>
    <row r="27" spans="1:13" ht="15.6" hidden="1">
      <c r="A27" s="159" t="s">
        <v>205</v>
      </c>
      <c r="B27" s="160">
        <v>4983944</v>
      </c>
      <c r="C27" s="172">
        <v>1974747</v>
      </c>
      <c r="D27" s="173">
        <v>773275</v>
      </c>
      <c r="E27" s="173">
        <v>1460575</v>
      </c>
      <c r="F27" s="173">
        <v>-1176432</v>
      </c>
      <c r="G27" s="168"/>
      <c r="H27" s="85" t="s">
        <v>102</v>
      </c>
      <c r="I27" s="111">
        <v>610784723000</v>
      </c>
      <c r="J27" s="111">
        <v>755250763000</v>
      </c>
      <c r="K27" s="111">
        <v>389838134000</v>
      </c>
      <c r="L27" s="111">
        <v>314057678000</v>
      </c>
      <c r="M27" s="111">
        <v>288107323000</v>
      </c>
    </row>
    <row r="28" spans="1:13" hidden="1">
      <c r="A28" s="161" t="s">
        <v>206</v>
      </c>
      <c r="B28" s="157">
        <v>28518930</v>
      </c>
      <c r="C28" s="170">
        <v>24820923</v>
      </c>
      <c r="D28" s="170">
        <v>24408056</v>
      </c>
      <c r="E28" s="170">
        <v>25113169</v>
      </c>
      <c r="F28" s="170">
        <v>28207361</v>
      </c>
      <c r="G28" s="168"/>
      <c r="H28" s="85" t="s">
        <v>103</v>
      </c>
      <c r="I28" s="110">
        <v>1015430000000</v>
      </c>
      <c r="J28" s="110">
        <v>791187000000</v>
      </c>
      <c r="K28" s="110">
        <v>679299486000</v>
      </c>
      <c r="L28" s="110">
        <v>573635856000</v>
      </c>
      <c r="M28" s="110">
        <v>525808308000</v>
      </c>
    </row>
    <row r="29" spans="1:13" hidden="1">
      <c r="A29" s="155" t="s">
        <v>155</v>
      </c>
      <c r="B29" s="158">
        <v>50910076</v>
      </c>
      <c r="C29" s="171">
        <v>30042628</v>
      </c>
      <c r="D29" s="171">
        <v>21915115</v>
      </c>
      <c r="E29" s="171">
        <v>20766755</v>
      </c>
      <c r="F29" s="171">
        <v>49145554</v>
      </c>
      <c r="G29" s="168"/>
      <c r="H29" s="85" t="s">
        <v>216</v>
      </c>
      <c r="I29" s="112">
        <v>22.02</v>
      </c>
      <c r="J29" s="112">
        <v>23.39</v>
      </c>
      <c r="K29" s="112">
        <v>18.54</v>
      </c>
      <c r="L29" s="112">
        <v>23.92</v>
      </c>
      <c r="M29" s="112">
        <v>19.309999999999999</v>
      </c>
    </row>
    <row r="30" spans="1:13" hidden="1">
      <c r="A30" s="155" t="s">
        <v>33</v>
      </c>
      <c r="B30" s="160">
        <v>56040863</v>
      </c>
      <c r="C30" s="172">
        <v>54681275</v>
      </c>
      <c r="D30" s="172">
        <v>42402183</v>
      </c>
      <c r="E30" s="172">
        <v>33600361</v>
      </c>
      <c r="F30" s="172">
        <v>32545236</v>
      </c>
      <c r="G30" s="168"/>
      <c r="H30" s="113" t="s">
        <v>107</v>
      </c>
      <c r="I30" s="112">
        <v>7.7</v>
      </c>
      <c r="J30" s="112">
        <v>8.57</v>
      </c>
      <c r="K30" s="112">
        <v>5.57</v>
      </c>
      <c r="L30" s="112">
        <v>3.52</v>
      </c>
      <c r="M30" s="112">
        <v>4.18</v>
      </c>
    </row>
    <row r="31" spans="1:13" hidden="1">
      <c r="A31" s="155" t="s">
        <v>207</v>
      </c>
      <c r="B31" s="157">
        <v>30228216</v>
      </c>
      <c r="C31" s="170">
        <v>26446050</v>
      </c>
      <c r="D31" s="170">
        <v>25634948</v>
      </c>
      <c r="E31" s="170">
        <v>26151824</v>
      </c>
      <c r="F31" s="170">
        <v>25646584</v>
      </c>
      <c r="G31" s="168"/>
      <c r="H31" s="85" t="s">
        <v>33</v>
      </c>
      <c r="I31" s="91">
        <v>56040863</v>
      </c>
      <c r="J31" s="91">
        <v>54681275</v>
      </c>
      <c r="K31" s="92">
        <v>42402183</v>
      </c>
      <c r="L31" s="91">
        <v>33600361</v>
      </c>
      <c r="M31" s="91">
        <v>32545236</v>
      </c>
    </row>
    <row r="32" spans="1:13" hidden="1">
      <c r="A32" s="161" t="s">
        <v>13</v>
      </c>
      <c r="B32" s="160">
        <v>1259328610</v>
      </c>
      <c r="C32" s="172">
        <v>992886661</v>
      </c>
      <c r="D32" s="172">
        <v>833443027</v>
      </c>
      <c r="E32" s="172">
        <v>706666079</v>
      </c>
      <c r="F32" s="172">
        <v>662938624</v>
      </c>
      <c r="G32" s="168"/>
      <c r="H32" s="85" t="s">
        <v>13</v>
      </c>
      <c r="I32" s="93">
        <v>1259328610</v>
      </c>
      <c r="J32" s="93">
        <v>992886661</v>
      </c>
      <c r="K32" s="94">
        <v>833443027</v>
      </c>
      <c r="L32" s="93">
        <v>706666079</v>
      </c>
      <c r="M32" s="93">
        <v>662938624</v>
      </c>
    </row>
    <row r="33" spans="1:13" hidden="1">
      <c r="A33" s="155" t="s">
        <v>141</v>
      </c>
      <c r="B33" s="162">
        <f>89432245+3556215</f>
        <v>92988460</v>
      </c>
      <c r="C33" s="171">
        <f>73651718+8196147</f>
        <v>81847865</v>
      </c>
      <c r="D33" s="171">
        <f>63039290+7886702</f>
        <v>70925992</v>
      </c>
      <c r="E33" s="171">
        <f>49187645+4093402</f>
        <v>53281047</v>
      </c>
      <c r="F33" s="171">
        <f>44239325+3193835</f>
        <v>47433160</v>
      </c>
      <c r="G33" s="168"/>
      <c r="H33" s="109" t="s">
        <v>155</v>
      </c>
      <c r="I33" s="95">
        <v>50910076</v>
      </c>
      <c r="J33" s="95">
        <v>30042628</v>
      </c>
      <c r="K33" s="95">
        <v>21915115</v>
      </c>
      <c r="L33" s="95">
        <v>20766755</v>
      </c>
      <c r="M33" s="95">
        <v>49145554</v>
      </c>
    </row>
    <row r="34" spans="1:13" hidden="1">
      <c r="A34" s="155" t="s">
        <v>143</v>
      </c>
      <c r="B34" s="158">
        <f>593924897+25210301</f>
        <v>619135198</v>
      </c>
      <c r="C34" s="171">
        <f>429738711+21321177</f>
        <v>451059888</v>
      </c>
      <c r="D34" s="171">
        <f>284916148+12304760</f>
        <v>297220908</v>
      </c>
      <c r="E34" s="171">
        <f>249064623+12304760</f>
        <v>261369383</v>
      </c>
      <c r="F34" s="171">
        <f>10995031+303088077</f>
        <v>314083108</v>
      </c>
      <c r="G34" s="168"/>
      <c r="H34" s="107" t="s">
        <v>22</v>
      </c>
      <c r="I34" s="96">
        <v>1203287747</v>
      </c>
      <c r="J34" s="96">
        <v>938205386</v>
      </c>
      <c r="K34" s="96">
        <v>790898988</v>
      </c>
      <c r="L34" s="96">
        <v>672984205</v>
      </c>
      <c r="M34" s="96">
        <v>630252647</v>
      </c>
    </row>
    <row r="35" spans="1:13" hidden="1">
      <c r="A35" s="163" t="s">
        <v>94</v>
      </c>
      <c r="B35" s="164">
        <v>1260260180</v>
      </c>
      <c r="C35" s="174">
        <v>1260260180</v>
      </c>
      <c r="D35" s="174">
        <v>1260260180</v>
      </c>
      <c r="E35" s="174">
        <v>1260260180</v>
      </c>
      <c r="F35" s="174">
        <v>1260260180</v>
      </c>
      <c r="G35" s="168"/>
      <c r="H35" s="109" t="s">
        <v>33</v>
      </c>
      <c r="I35" s="97">
        <v>56040863</v>
      </c>
      <c r="J35" s="97">
        <v>54681275</v>
      </c>
      <c r="K35" s="98">
        <v>42402183</v>
      </c>
      <c r="L35" s="97">
        <v>33600361</v>
      </c>
      <c r="M35" s="97">
        <v>32545236</v>
      </c>
    </row>
    <row r="36" spans="1:13" hidden="1">
      <c r="A36" s="163" t="s">
        <v>95</v>
      </c>
      <c r="B36" s="165">
        <v>44.36</v>
      </c>
      <c r="C36" s="175">
        <v>43.28</v>
      </c>
      <c r="D36" s="175">
        <v>33.53</v>
      </c>
      <c r="E36" s="175">
        <v>26.59</v>
      </c>
      <c r="F36" s="175">
        <v>25.74</v>
      </c>
      <c r="G36" s="168"/>
      <c r="H36" s="105" t="s">
        <v>6</v>
      </c>
      <c r="I36" s="99">
        <v>616231172</v>
      </c>
      <c r="J36" s="99">
        <v>449611987</v>
      </c>
      <c r="K36" s="99">
        <v>305435633</v>
      </c>
      <c r="L36" s="104">
        <v>260233987</v>
      </c>
      <c r="M36" s="99">
        <v>314956748</v>
      </c>
    </row>
    <row r="37" spans="1:13" hidden="1">
      <c r="A37" s="155" t="s">
        <v>208</v>
      </c>
      <c r="B37" s="136">
        <f>B36*B35</f>
        <v>55905141584.800003</v>
      </c>
      <c r="C37" s="168">
        <f t="shared" ref="C37:F37" si="13">C36*C35</f>
        <v>54544060590.400002</v>
      </c>
      <c r="D37" s="168">
        <f t="shared" si="13"/>
        <v>42256523835.400002</v>
      </c>
      <c r="E37" s="168">
        <f t="shared" si="13"/>
        <v>33510318186.200001</v>
      </c>
      <c r="F37" s="168">
        <f t="shared" si="13"/>
        <v>32439097033.199997</v>
      </c>
      <c r="G37" s="168"/>
      <c r="H37" s="105" t="s">
        <v>47</v>
      </c>
      <c r="I37" s="100">
        <v>41977144</v>
      </c>
      <c r="J37" s="100">
        <v>40118921</v>
      </c>
      <c r="K37" s="101">
        <v>29540550</v>
      </c>
      <c r="L37" s="100">
        <v>24231551</v>
      </c>
      <c r="M37" s="100">
        <v>22311366</v>
      </c>
    </row>
    <row r="38" spans="1:13" hidden="1">
      <c r="A38" s="163" t="s">
        <v>93</v>
      </c>
      <c r="B38" s="163">
        <v>22.02</v>
      </c>
      <c r="C38" s="176">
        <v>23.39</v>
      </c>
      <c r="D38" s="176">
        <v>18.54</v>
      </c>
      <c r="E38" s="176">
        <v>23.92</v>
      </c>
      <c r="F38" s="176">
        <v>19.309999999999999</v>
      </c>
      <c r="G38" s="168"/>
      <c r="H38" s="105" t="s">
        <v>49</v>
      </c>
      <c r="I38" s="100">
        <v>21017376</v>
      </c>
      <c r="J38" s="100">
        <v>20217974</v>
      </c>
      <c r="K38" s="101">
        <v>18235061</v>
      </c>
      <c r="L38" s="100">
        <v>16240514</v>
      </c>
      <c r="M38" s="100">
        <v>14948796</v>
      </c>
    </row>
    <row r="39" spans="1:13" hidden="1">
      <c r="A39" s="163" t="s">
        <v>94</v>
      </c>
      <c r="B39" s="164">
        <v>1260260180</v>
      </c>
      <c r="C39" s="174">
        <v>1260260180</v>
      </c>
      <c r="D39" s="174">
        <v>1260260180</v>
      </c>
      <c r="E39" s="174">
        <v>1260260180</v>
      </c>
      <c r="F39" s="174">
        <v>1260260180</v>
      </c>
      <c r="G39" s="168"/>
      <c r="H39" s="90" t="s">
        <v>217</v>
      </c>
      <c r="I39" s="102">
        <v>7478</v>
      </c>
      <c r="J39" s="102">
        <v>7658</v>
      </c>
      <c r="K39" s="103">
        <v>7534</v>
      </c>
      <c r="L39" s="102">
        <v>7538</v>
      </c>
      <c r="M39" s="102">
        <v>7848</v>
      </c>
    </row>
    <row r="40" spans="1:13" hidden="1">
      <c r="A40" s="155" t="s">
        <v>209</v>
      </c>
      <c r="B40" s="136">
        <f>B38*B39</f>
        <v>27750929163.599998</v>
      </c>
      <c r="C40" s="168">
        <f t="shared" ref="C40:F40" si="14">C38*C39</f>
        <v>29477485610.200001</v>
      </c>
      <c r="D40" s="168">
        <f t="shared" si="14"/>
        <v>23365223737.200001</v>
      </c>
      <c r="E40" s="168">
        <f t="shared" si="14"/>
        <v>30145423505.600002</v>
      </c>
      <c r="F40" s="168">
        <f t="shared" si="14"/>
        <v>24335624075.799999</v>
      </c>
      <c r="G40" s="168"/>
      <c r="H40" s="90" t="s">
        <v>204</v>
      </c>
      <c r="I40" s="106">
        <v>9715733</v>
      </c>
      <c r="J40" s="106">
        <v>10856997</v>
      </c>
      <c r="K40" s="108">
        <v>7017901</v>
      </c>
      <c r="L40" s="106">
        <v>4431278</v>
      </c>
      <c r="M40" s="106">
        <v>5121686</v>
      </c>
    </row>
    <row r="41" spans="1:13">
      <c r="A41" s="136"/>
      <c r="B41" s="136"/>
      <c r="C41" s="168"/>
      <c r="D41" s="168"/>
      <c r="E41" s="168"/>
      <c r="F41" s="168"/>
      <c r="G41" s="168"/>
    </row>
    <row r="42" spans="1:13" ht="23.4">
      <c r="A42" s="253" t="s">
        <v>131</v>
      </c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</row>
    <row r="43" spans="1:13">
      <c r="A43" s="137"/>
      <c r="B43" s="138"/>
      <c r="C43" s="139">
        <v>2021</v>
      </c>
      <c r="D43" s="139">
        <v>2020</v>
      </c>
      <c r="E43" s="139">
        <v>2019</v>
      </c>
      <c r="F43" s="139">
        <v>2018</v>
      </c>
      <c r="G43" s="139">
        <v>2017</v>
      </c>
      <c r="H43" s="89"/>
      <c r="I43" s="89"/>
      <c r="J43" s="89"/>
      <c r="K43" s="89"/>
      <c r="L43" s="89"/>
    </row>
    <row r="44" spans="1:13">
      <c r="A44" s="150" t="s">
        <v>210</v>
      </c>
      <c r="B44" s="138"/>
      <c r="C44" s="140">
        <f>I25/I26</f>
        <v>1.3176955341044831</v>
      </c>
      <c r="D44" s="140">
        <f>J25/J26</f>
        <v>1.0580940899831748</v>
      </c>
      <c r="E44" s="140">
        <f>K25/K26</f>
        <v>1.0312515352074776</v>
      </c>
      <c r="F44" s="140">
        <f>L25/L26</f>
        <v>1.0721448468924104</v>
      </c>
      <c r="G44" s="140">
        <f>M25/M26</f>
        <v>1.0173813192532266</v>
      </c>
      <c r="H44" s="89"/>
      <c r="I44" s="89"/>
      <c r="J44" s="89"/>
      <c r="K44" s="89"/>
      <c r="L44" s="89"/>
    </row>
    <row r="45" spans="1:13">
      <c r="A45" s="150" t="s">
        <v>100</v>
      </c>
      <c r="B45" s="138"/>
      <c r="C45" s="141">
        <f>I27/I28</f>
        <v>0.60150352363038317</v>
      </c>
      <c r="D45" s="141">
        <f>J27/J28</f>
        <v>0.95457933838650033</v>
      </c>
      <c r="E45" s="141">
        <f>K27/K28</f>
        <v>0.57388256878498511</v>
      </c>
      <c r="F45" s="141">
        <f>L27/L28</f>
        <v>0.54748613552497316</v>
      </c>
      <c r="G45" s="141">
        <f>M27/M28</f>
        <v>0.54793223807334746</v>
      </c>
      <c r="H45" s="89"/>
      <c r="I45" s="89"/>
      <c r="J45" s="89"/>
      <c r="K45" s="89"/>
      <c r="L45" s="89"/>
    </row>
    <row r="46" spans="1:13">
      <c r="A46" s="151"/>
      <c r="B46" s="142"/>
      <c r="C46" s="142"/>
      <c r="D46" s="142"/>
      <c r="E46" s="142"/>
      <c r="F46" s="142"/>
      <c r="G46" s="143"/>
      <c r="H46" s="89"/>
      <c r="I46" s="89"/>
      <c r="J46" s="89"/>
      <c r="K46" s="89"/>
      <c r="L46" s="89"/>
    </row>
    <row r="47" spans="1:13" ht="23.4">
      <c r="A47" s="249" t="s">
        <v>135</v>
      </c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</row>
    <row r="48" spans="1:13">
      <c r="A48" s="152"/>
      <c r="B48" s="144"/>
      <c r="C48" s="145">
        <v>2021</v>
      </c>
      <c r="D48" s="145">
        <v>2020</v>
      </c>
      <c r="E48" s="145">
        <v>2019</v>
      </c>
      <c r="F48" s="145">
        <v>2018</v>
      </c>
      <c r="G48" s="145">
        <v>2017</v>
      </c>
      <c r="H48" s="89"/>
      <c r="I48" s="89"/>
      <c r="J48" s="89"/>
      <c r="K48" s="89"/>
      <c r="L48" s="89"/>
    </row>
    <row r="49" spans="1:13">
      <c r="A49" s="152" t="s">
        <v>104</v>
      </c>
      <c r="B49" s="144"/>
      <c r="C49" s="146">
        <f>I29/I30</f>
        <v>2.8597402597402595</v>
      </c>
      <c r="D49" s="146">
        <f>J29/J30</f>
        <v>2.7292882147024504</v>
      </c>
      <c r="E49" s="146">
        <f>K29/K30</f>
        <v>3.328545780969479</v>
      </c>
      <c r="F49" s="146">
        <f>L29/L30</f>
        <v>6.7954545454545459</v>
      </c>
      <c r="G49" s="146">
        <f>M29/M30</f>
        <v>4.6196172248803826</v>
      </c>
      <c r="H49" s="89"/>
      <c r="I49" s="89"/>
      <c r="J49" s="89"/>
      <c r="K49" s="89"/>
      <c r="L49" s="89"/>
    </row>
    <row r="50" spans="1:13">
      <c r="A50" s="152" t="s">
        <v>137</v>
      </c>
      <c r="B50" s="144"/>
      <c r="C50" s="147">
        <f>I31/I32</f>
        <v>4.4500587499556606E-2</v>
      </c>
      <c r="D50" s="147">
        <f>J31/J32</f>
        <v>5.5073028118765313E-2</v>
      </c>
      <c r="E50" s="147">
        <f>K31/K32</f>
        <v>5.087592268019539E-2</v>
      </c>
      <c r="F50" s="147">
        <f>L31/L32</f>
        <v>4.7547720201240901E-2</v>
      </c>
      <c r="G50" s="147">
        <f>M31/M32</f>
        <v>4.90923817406059E-2</v>
      </c>
      <c r="H50" s="89"/>
      <c r="I50" s="89"/>
      <c r="J50" s="89"/>
      <c r="K50" s="89"/>
      <c r="L50" s="89"/>
    </row>
    <row r="51" spans="1:13">
      <c r="A51" s="152" t="s">
        <v>152</v>
      </c>
      <c r="B51" s="144"/>
      <c r="C51" s="147">
        <f>I33/I34</f>
        <v>4.2309145195675295E-2</v>
      </c>
      <c r="D51" s="147">
        <f>J33/J34</f>
        <v>3.2021376607189934E-2</v>
      </c>
      <c r="E51" s="147">
        <f>K33/K34</f>
        <v>2.7709120042520526E-2</v>
      </c>
      <c r="F51" s="147">
        <f>L33/L34</f>
        <v>3.0857715301059702E-2</v>
      </c>
      <c r="G51" s="147">
        <f>M33/M34</f>
        <v>7.7977544773405766E-2</v>
      </c>
      <c r="H51" s="89"/>
      <c r="I51" s="89"/>
      <c r="J51" s="89"/>
      <c r="K51" s="89"/>
      <c r="L51" s="89"/>
    </row>
    <row r="52" spans="1:13">
      <c r="A52" s="152" t="s">
        <v>153</v>
      </c>
      <c r="B52" s="144"/>
      <c r="C52" s="147">
        <f>I35/I36</f>
        <v>9.0941298568388548E-2</v>
      </c>
      <c r="D52" s="147">
        <f>J35/J36</f>
        <v>0.12161881039884286</v>
      </c>
      <c r="E52" s="147">
        <f>K35/K36</f>
        <v>0.13882526600948358</v>
      </c>
      <c r="F52" s="147">
        <f>L35/L36</f>
        <v>0.12911595978429982</v>
      </c>
      <c r="G52" s="147">
        <f>M35/M36</f>
        <v>0.10333239788213713</v>
      </c>
      <c r="H52" s="89"/>
      <c r="I52" s="89"/>
      <c r="J52" s="89"/>
      <c r="K52" s="89"/>
      <c r="L52" s="89"/>
    </row>
    <row r="53" spans="1:13">
      <c r="A53" s="153"/>
      <c r="B53" s="148"/>
      <c r="C53" s="148"/>
      <c r="D53" s="148"/>
      <c r="E53" s="148"/>
      <c r="F53" s="148"/>
      <c r="G53" s="149"/>
      <c r="H53" s="89"/>
      <c r="I53" s="89"/>
      <c r="J53" s="89"/>
      <c r="K53" s="89"/>
      <c r="L53" s="89"/>
    </row>
    <row r="54" spans="1:13" ht="23.4">
      <c r="A54" s="249" t="s">
        <v>211</v>
      </c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</row>
    <row r="55" spans="1:13">
      <c r="A55" s="150"/>
      <c r="B55" s="138"/>
      <c r="C55" s="139">
        <v>2021</v>
      </c>
      <c r="D55" s="139">
        <v>2020</v>
      </c>
      <c r="E55" s="139">
        <v>2019</v>
      </c>
      <c r="F55" s="139">
        <v>2018</v>
      </c>
      <c r="G55" s="139">
        <v>2017</v>
      </c>
      <c r="H55" s="89"/>
      <c r="I55" s="89"/>
      <c r="J55" s="89"/>
      <c r="K55" s="89"/>
      <c r="L55" s="89"/>
    </row>
    <row r="56" spans="1:13">
      <c r="A56" s="154" t="s">
        <v>212</v>
      </c>
      <c r="B56" s="138"/>
      <c r="C56" s="141">
        <f>I38/I37</f>
        <v>0.50068618293802936</v>
      </c>
      <c r="D56" s="141">
        <f>J38/J37</f>
        <v>0.50395109080824985</v>
      </c>
      <c r="E56" s="141">
        <f>K38/K37</f>
        <v>0.61728914999889983</v>
      </c>
      <c r="F56" s="141">
        <f>L38/L37</f>
        <v>0.67022181122454771</v>
      </c>
      <c r="G56" s="141">
        <f>M38/M37</f>
        <v>0.67000810259667654</v>
      </c>
      <c r="H56" s="89"/>
      <c r="I56" s="89"/>
      <c r="J56" s="89"/>
      <c r="K56" s="89"/>
      <c r="L56" s="89"/>
    </row>
    <row r="57" spans="1:13">
      <c r="A57" s="150" t="s">
        <v>213</v>
      </c>
      <c r="B57" s="138"/>
      <c r="C57" s="140">
        <f>I40/I39</f>
        <v>1299.2421770526878</v>
      </c>
      <c r="D57" s="140">
        <f>J40/J39</f>
        <v>1417.7326978323322</v>
      </c>
      <c r="E57" s="140">
        <f>K40/K39</f>
        <v>931.49734536766653</v>
      </c>
      <c r="F57" s="140">
        <f>L40/L39</f>
        <v>587.85858317856196</v>
      </c>
      <c r="G57" s="140">
        <f>M40/M39</f>
        <v>652.61034658511721</v>
      </c>
      <c r="H57" s="89"/>
      <c r="I57" s="89"/>
      <c r="J57" s="89"/>
      <c r="K57" s="89"/>
      <c r="L57" s="89"/>
    </row>
    <row r="58" spans="1:13">
      <c r="A58" s="151"/>
      <c r="B58" s="138"/>
      <c r="C58" s="138"/>
      <c r="D58" s="138"/>
      <c r="E58" s="138"/>
      <c r="F58" s="138"/>
      <c r="G58" s="138"/>
    </row>
    <row r="59" spans="1:13" hidden="1">
      <c r="B59" s="80">
        <v>2021</v>
      </c>
      <c r="C59">
        <v>2020</v>
      </c>
      <c r="D59">
        <v>2019</v>
      </c>
      <c r="E59">
        <v>2018</v>
      </c>
      <c r="F59">
        <v>2017</v>
      </c>
    </row>
    <row r="60" spans="1:13" hidden="1">
      <c r="A60" t="s">
        <v>253</v>
      </c>
      <c r="B60" s="126">
        <v>1159136134</v>
      </c>
      <c r="C60" s="126">
        <v>878172022</v>
      </c>
      <c r="D60" s="126">
        <v>779684067</v>
      </c>
      <c r="E60" s="126">
        <v>694552075</v>
      </c>
      <c r="F60" s="126">
        <v>622775656</v>
      </c>
    </row>
    <row r="61" spans="1:13" hidden="1">
      <c r="A61" t="s">
        <v>254</v>
      </c>
      <c r="B61" s="2">
        <v>1259328610</v>
      </c>
      <c r="C61" s="2">
        <v>992886661</v>
      </c>
      <c r="D61" s="9">
        <v>833443027</v>
      </c>
      <c r="E61" s="2">
        <v>706666079</v>
      </c>
      <c r="F61" s="2">
        <v>662938624</v>
      </c>
    </row>
    <row r="62" spans="1:13" ht="17.399999999999999" customHeight="1">
      <c r="A62" s="178" t="s">
        <v>255</v>
      </c>
    </row>
    <row r="63" spans="1:13">
      <c r="A63" s="179" t="s">
        <v>81</v>
      </c>
      <c r="B63" s="180">
        <v>6.5244059355732256E-2</v>
      </c>
      <c r="C63" s="180">
        <v>7.2673829594501416E-2</v>
      </c>
      <c r="D63" s="180">
        <v>7.5438513527685089E-2</v>
      </c>
      <c r="E63" s="180">
        <v>7.7693181949369305E-2</v>
      </c>
      <c r="F63" s="180">
        <v>0.10341608820577447</v>
      </c>
    </row>
    <row r="64" spans="1:13">
      <c r="A64" s="179" t="s">
        <v>100</v>
      </c>
      <c r="B64" s="180">
        <v>0.60150352363038317</v>
      </c>
      <c r="C64" s="180">
        <v>0.95457933838650033</v>
      </c>
      <c r="D64" s="180">
        <v>0.57388256878498511</v>
      </c>
      <c r="E64" s="180">
        <v>0.54748613552497316</v>
      </c>
      <c r="F64" s="180">
        <v>0.54793223807334746</v>
      </c>
    </row>
    <row r="65" spans="1:6">
      <c r="A65" s="179" t="s">
        <v>213</v>
      </c>
      <c r="B65" s="179">
        <v>1299.2421770526878</v>
      </c>
      <c r="C65" s="179">
        <v>1417.7326978323322</v>
      </c>
      <c r="D65" s="179">
        <v>931.49734536766653</v>
      </c>
      <c r="E65" s="179">
        <v>587.85858317856196</v>
      </c>
      <c r="F65" s="179">
        <v>652.61034658511721</v>
      </c>
    </row>
  </sheetData>
  <mergeCells count="6">
    <mergeCell ref="A54:M54"/>
    <mergeCell ref="A18:M18"/>
    <mergeCell ref="A11:M11"/>
    <mergeCell ref="A1:M1"/>
    <mergeCell ref="A42:M42"/>
    <mergeCell ref="A47:M4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76"/>
  <sheetViews>
    <sheetView zoomScale="71" zoomScaleNormal="73" workbookViewId="0">
      <selection activeCell="C2" sqref="C2:F2"/>
    </sheetView>
  </sheetViews>
  <sheetFormatPr defaultColWidth="14.44140625" defaultRowHeight="15" customHeight="1"/>
  <cols>
    <col min="1" max="1" width="41.5546875" bestFit="1" customWidth="1"/>
    <col min="2" max="2" width="26.88671875" customWidth="1"/>
    <col min="8" max="8" width="21.6640625" bestFit="1" customWidth="1"/>
    <col min="9" max="9" width="17.109375" customWidth="1"/>
    <col min="10" max="10" width="28.6640625" bestFit="1" customWidth="1"/>
    <col min="11" max="12" width="17.109375" bestFit="1" customWidth="1"/>
    <col min="13" max="13" width="7" bestFit="1" customWidth="1"/>
    <col min="14" max="15" width="9" hidden="1" customWidth="1"/>
    <col min="16" max="17" width="7" hidden="1" customWidth="1"/>
    <col min="18" max="18" width="20.44140625" hidden="1" customWidth="1"/>
    <col min="19" max="19" width="14.88671875" bestFit="1" customWidth="1"/>
    <col min="20" max="23" width="13" bestFit="1" customWidth="1"/>
    <col min="24" max="24" width="28.6640625" hidden="1" customWidth="1"/>
    <col min="25" max="25" width="13.44140625" hidden="1" customWidth="1"/>
    <col min="26" max="27" width="13" hidden="1" customWidth="1"/>
    <col min="28" max="28" width="12.5546875" hidden="1" customWidth="1"/>
    <col min="29" max="29" width="13.44140625" hidden="1" customWidth="1"/>
    <col min="31" max="31" width="26" bestFit="1" customWidth="1"/>
    <col min="32" max="36" width="13" bestFit="1" customWidth="1"/>
    <col min="39" max="44" width="0" hidden="1" customWidth="1"/>
  </cols>
  <sheetData>
    <row r="1" spans="1:29" ht="18">
      <c r="A1" s="63" t="s">
        <v>179</v>
      </c>
      <c r="B1" s="64">
        <v>2021</v>
      </c>
      <c r="C1" s="64">
        <v>2020</v>
      </c>
      <c r="D1" s="64">
        <v>2019</v>
      </c>
      <c r="E1" s="64">
        <v>2018</v>
      </c>
      <c r="F1" s="64">
        <v>2017</v>
      </c>
      <c r="H1" s="67" t="s">
        <v>183</v>
      </c>
      <c r="I1" s="64">
        <v>2021</v>
      </c>
      <c r="J1" s="64">
        <v>2020</v>
      </c>
      <c r="K1" s="64">
        <v>2019</v>
      </c>
      <c r="L1" s="64">
        <v>2018</v>
      </c>
      <c r="M1" s="64">
        <v>2017</v>
      </c>
      <c r="N1" s="64">
        <v>2017</v>
      </c>
      <c r="O1" s="64">
        <v>2018</v>
      </c>
      <c r="P1" s="64">
        <v>2019</v>
      </c>
      <c r="Q1" s="64">
        <v>2020</v>
      </c>
      <c r="R1" s="64">
        <v>2021</v>
      </c>
    </row>
    <row r="2" spans="1:29" ht="18">
      <c r="A2" s="71"/>
      <c r="B2" s="68">
        <v>0.1338</v>
      </c>
      <c r="C2" s="68">
        <v>0.15479999999999999</v>
      </c>
      <c r="D2" s="68">
        <v>0.1338</v>
      </c>
      <c r="E2" s="68">
        <v>0.12509999999999999</v>
      </c>
      <c r="F2" s="68">
        <v>0.12089999999999999</v>
      </c>
      <c r="H2" s="67" t="s">
        <v>184</v>
      </c>
      <c r="I2" s="69">
        <v>0.2</v>
      </c>
      <c r="J2" s="69">
        <v>0.2</v>
      </c>
      <c r="K2" s="69">
        <v>0.2</v>
      </c>
      <c r="L2" s="69">
        <v>0.2</v>
      </c>
      <c r="M2" s="69">
        <v>0.2</v>
      </c>
      <c r="N2" s="72">
        <v>0.2</v>
      </c>
      <c r="O2" s="72">
        <v>0.2</v>
      </c>
      <c r="P2" s="72">
        <v>0.2</v>
      </c>
      <c r="Q2" s="72">
        <v>0.2</v>
      </c>
      <c r="R2" s="72">
        <v>0.2</v>
      </c>
    </row>
    <row r="3" spans="1:29" ht="18">
      <c r="A3" s="67" t="s">
        <v>161</v>
      </c>
      <c r="B3" s="70">
        <v>1</v>
      </c>
      <c r="C3" s="70">
        <v>1</v>
      </c>
      <c r="D3" s="70">
        <v>1</v>
      </c>
      <c r="E3" s="70">
        <v>1</v>
      </c>
      <c r="F3" s="70">
        <v>1</v>
      </c>
      <c r="H3" s="67" t="s">
        <v>185</v>
      </c>
      <c r="I3" s="69">
        <v>0.2</v>
      </c>
      <c r="J3" s="69">
        <v>0.2</v>
      </c>
      <c r="K3" s="69">
        <v>0.2</v>
      </c>
      <c r="L3" s="69">
        <v>0.2</v>
      </c>
      <c r="M3" s="69">
        <v>0.2</v>
      </c>
      <c r="N3" s="72">
        <v>0.2</v>
      </c>
      <c r="O3" s="72">
        <v>0.2</v>
      </c>
      <c r="P3" s="72">
        <v>0.2</v>
      </c>
      <c r="Q3" s="72">
        <v>0.2</v>
      </c>
      <c r="R3" s="72">
        <v>0.2</v>
      </c>
    </row>
    <row r="4" spans="1:29" s="17" customFormat="1" ht="18">
      <c r="A4" s="67" t="s">
        <v>162</v>
      </c>
      <c r="B4" s="68">
        <v>0.2</v>
      </c>
      <c r="C4" s="68">
        <v>0.2</v>
      </c>
      <c r="D4" s="68">
        <v>0.2</v>
      </c>
      <c r="E4" s="68">
        <v>0.2</v>
      </c>
      <c r="F4" s="68">
        <v>0.2</v>
      </c>
      <c r="H4" s="67" t="s">
        <v>186</v>
      </c>
      <c r="I4" s="69">
        <v>1.25</v>
      </c>
      <c r="J4" s="69">
        <v>1.25</v>
      </c>
      <c r="K4" s="69">
        <v>1.25</v>
      </c>
      <c r="L4" s="69">
        <v>1.25</v>
      </c>
      <c r="M4" s="69">
        <v>1.25</v>
      </c>
      <c r="N4" s="72">
        <v>1.25</v>
      </c>
      <c r="O4" s="72">
        <v>1.25</v>
      </c>
      <c r="P4" s="72">
        <v>1.25</v>
      </c>
      <c r="Q4" s="72">
        <v>1.25</v>
      </c>
      <c r="R4" s="72">
        <v>1.25</v>
      </c>
    </row>
    <row r="5" spans="1:29" ht="18">
      <c r="A5" s="67" t="s">
        <v>163</v>
      </c>
      <c r="B5" s="79">
        <f>B3*B4</f>
        <v>0.2</v>
      </c>
      <c r="C5" s="79">
        <f>C3*C4</f>
        <v>0.2</v>
      </c>
      <c r="D5" s="79">
        <f>D3*D4</f>
        <v>0.2</v>
      </c>
      <c r="E5" s="79">
        <f>E3*E4</f>
        <v>0.2</v>
      </c>
      <c r="F5" s="79">
        <f>F3*F4</f>
        <v>0.2</v>
      </c>
      <c r="H5" s="67" t="s">
        <v>187</v>
      </c>
      <c r="I5" s="69">
        <f>B16+B20</f>
        <v>0.25771501014338111</v>
      </c>
      <c r="J5" s="69">
        <f>C16+C20</f>
        <v>0.26093477979557628</v>
      </c>
      <c r="K5" s="69">
        <f>D16+D20</f>
        <v>0.25842037280611863</v>
      </c>
      <c r="L5" s="69">
        <f>E16+E20</f>
        <v>0.25627068162981687</v>
      </c>
      <c r="M5" s="69">
        <f>F16+F20</f>
        <v>0.25772573178659747</v>
      </c>
      <c r="N5" s="72">
        <v>1.05</v>
      </c>
      <c r="O5" s="72">
        <v>1.2</v>
      </c>
      <c r="P5" s="72">
        <v>1.05</v>
      </c>
      <c r="Q5" s="72">
        <v>0.75</v>
      </c>
      <c r="R5" s="72">
        <v>0.89999999999999991</v>
      </c>
    </row>
    <row r="6" spans="1:29" ht="18">
      <c r="A6" s="58"/>
      <c r="B6" s="58"/>
      <c r="C6" s="58"/>
      <c r="D6" s="58"/>
      <c r="E6" s="58"/>
      <c r="F6" s="58"/>
      <c r="H6" s="67" t="s">
        <v>188</v>
      </c>
      <c r="I6" s="69">
        <f>B26+B30</f>
        <v>0.62033079582048989</v>
      </c>
      <c r="J6" s="69">
        <f>C26+C30</f>
        <v>0.64972256874796985</v>
      </c>
      <c r="K6" s="69">
        <f>D26+D30</f>
        <v>0.69896886349015674</v>
      </c>
      <c r="L6" s="69">
        <f>E26+E30</f>
        <v>0.748126686609627</v>
      </c>
      <c r="M6" s="69">
        <f>F26+F30</f>
        <v>0.64199137327693756</v>
      </c>
      <c r="N6" s="72">
        <v>0.1</v>
      </c>
      <c r="O6" s="72">
        <v>0.1</v>
      </c>
      <c r="P6" s="72">
        <v>0.1</v>
      </c>
      <c r="Q6" s="72">
        <v>0.1</v>
      </c>
      <c r="R6" s="72">
        <v>0.1</v>
      </c>
    </row>
    <row r="7" spans="1:29" ht="18">
      <c r="A7" s="63" t="s">
        <v>180</v>
      </c>
      <c r="B7" s="64">
        <v>2021</v>
      </c>
      <c r="C7" s="64">
        <v>2020</v>
      </c>
      <c r="D7" s="64">
        <v>2019</v>
      </c>
      <c r="E7" s="64">
        <v>2018</v>
      </c>
      <c r="F7" s="64">
        <v>2017</v>
      </c>
      <c r="H7" s="67" t="s">
        <v>189</v>
      </c>
      <c r="I7" s="69">
        <v>0.5</v>
      </c>
      <c r="J7" s="69">
        <v>0.5</v>
      </c>
      <c r="K7" s="69">
        <v>0.5</v>
      </c>
      <c r="L7" s="69">
        <v>0.5</v>
      </c>
      <c r="M7" s="69">
        <v>0.5</v>
      </c>
      <c r="N7" s="72">
        <v>0.5</v>
      </c>
      <c r="O7" s="72">
        <v>0.5</v>
      </c>
      <c r="P7" s="72">
        <v>0.5</v>
      </c>
      <c r="Q7" s="72">
        <v>0.5</v>
      </c>
      <c r="R7" s="72">
        <v>0.5</v>
      </c>
    </row>
    <row r="8" spans="1:29" ht="18">
      <c r="A8" s="71"/>
      <c r="B8" s="68">
        <f>(Y75-Y76)/Y74</f>
        <v>5.5401851855054101E-3</v>
      </c>
      <c r="C8" s="68">
        <f>(Z75-Z76)/Z74</f>
        <v>9.8486668681169263E-3</v>
      </c>
      <c r="D8" s="68">
        <f>(AA75-AA76)/AA74</f>
        <v>9.9913609272283873E-3</v>
      </c>
      <c r="E8" s="68">
        <f>(AB75-AB76)/AB74</f>
        <v>4.4998100841076331E-3</v>
      </c>
      <c r="F8" s="68">
        <f>(AC75-AC76)/AC74</f>
        <v>6.92309959919068E-3</v>
      </c>
      <c r="H8" s="74" t="s">
        <v>190</v>
      </c>
      <c r="I8" s="69">
        <f>SUM(I2:I7)</f>
        <v>3.0280458059638709</v>
      </c>
      <c r="J8" s="69">
        <f t="shared" ref="J8:AC8" si="0">SUM(J2:J7)</f>
        <v>3.060657348543546</v>
      </c>
      <c r="K8" s="69">
        <f t="shared" si="0"/>
        <v>3.1073892362962754</v>
      </c>
      <c r="L8" s="69">
        <f t="shared" si="0"/>
        <v>3.1543973682394437</v>
      </c>
      <c r="M8" s="69">
        <f t="shared" si="0"/>
        <v>3.049717105063535</v>
      </c>
      <c r="N8" s="73">
        <f t="shared" si="0"/>
        <v>3.3000000000000003</v>
      </c>
      <c r="O8" s="73">
        <f t="shared" si="0"/>
        <v>3.4499999999999997</v>
      </c>
      <c r="P8" s="73">
        <f t="shared" si="0"/>
        <v>3.3000000000000003</v>
      </c>
      <c r="Q8" s="73">
        <f t="shared" si="0"/>
        <v>3</v>
      </c>
      <c r="X8" s="73">
        <f t="shared" si="0"/>
        <v>0</v>
      </c>
      <c r="Y8" s="73">
        <f t="shared" si="0"/>
        <v>0</v>
      </c>
      <c r="Z8" s="73">
        <f t="shared" si="0"/>
        <v>0</v>
      </c>
      <c r="AA8" s="73">
        <f t="shared" si="0"/>
        <v>0</v>
      </c>
      <c r="AB8" s="73">
        <f t="shared" si="0"/>
        <v>0</v>
      </c>
      <c r="AC8" s="73">
        <f t="shared" si="0"/>
        <v>0</v>
      </c>
    </row>
    <row r="9" spans="1:29" ht="18">
      <c r="A9" s="67" t="s">
        <v>161</v>
      </c>
      <c r="B9" s="70">
        <v>1</v>
      </c>
      <c r="C9" s="70">
        <v>1</v>
      </c>
      <c r="D9" s="70">
        <v>1</v>
      </c>
      <c r="E9" s="70">
        <v>1</v>
      </c>
      <c r="F9" s="70">
        <v>1</v>
      </c>
      <c r="X9" s="73">
        <f t="shared" ref="X9:AC9" si="1">SUM(R2:R7)</f>
        <v>3.15</v>
      </c>
      <c r="Y9" s="73">
        <f t="shared" si="1"/>
        <v>0</v>
      </c>
      <c r="Z9" s="73">
        <f t="shared" si="1"/>
        <v>0</v>
      </c>
      <c r="AA9" s="73">
        <f t="shared" si="1"/>
        <v>0</v>
      </c>
      <c r="AB9" s="73">
        <f t="shared" si="1"/>
        <v>0</v>
      </c>
      <c r="AC9" s="73">
        <f t="shared" si="1"/>
        <v>0</v>
      </c>
    </row>
    <row r="10" spans="1:29" ht="18">
      <c r="A10" s="67" t="s">
        <v>162</v>
      </c>
      <c r="B10" s="68">
        <v>0.2</v>
      </c>
      <c r="C10" s="68">
        <v>0.2</v>
      </c>
      <c r="D10" s="68">
        <v>0.2</v>
      </c>
      <c r="E10" s="68">
        <v>0.2</v>
      </c>
      <c r="F10" s="68">
        <v>0.2</v>
      </c>
      <c r="H10" s="75" t="s">
        <v>191</v>
      </c>
      <c r="I10" s="76">
        <f>AVERAGE(I8:M8)</f>
        <v>3.0800413728213343</v>
      </c>
    </row>
    <row r="11" spans="1:29" ht="18">
      <c r="A11" s="67" t="s">
        <v>163</v>
      </c>
      <c r="B11" s="79">
        <f>B9*B10</f>
        <v>0.2</v>
      </c>
      <c r="C11" s="79">
        <f t="shared" ref="C11:F11" si="2">C9*C10</f>
        <v>0.2</v>
      </c>
      <c r="D11" s="79">
        <f t="shared" si="2"/>
        <v>0.2</v>
      </c>
      <c r="E11" s="79">
        <f t="shared" si="2"/>
        <v>0.2</v>
      </c>
      <c r="F11" s="79">
        <f t="shared" si="2"/>
        <v>0.2</v>
      </c>
    </row>
    <row r="12" spans="1:29" ht="14.4">
      <c r="A12" s="65"/>
      <c r="B12" s="66"/>
      <c r="C12" s="66"/>
      <c r="D12" s="66"/>
      <c r="E12" s="66"/>
      <c r="F12" s="66"/>
      <c r="Y12" s="50">
        <v>2021</v>
      </c>
      <c r="Z12" s="50">
        <v>2020</v>
      </c>
      <c r="AA12" s="50">
        <v>2019</v>
      </c>
      <c r="AB12" s="50">
        <v>2018</v>
      </c>
      <c r="AC12" s="50">
        <v>2017</v>
      </c>
    </row>
    <row r="13" spans="1:29" ht="18">
      <c r="A13" s="63" t="s">
        <v>167</v>
      </c>
      <c r="B13" s="64">
        <v>2021</v>
      </c>
      <c r="C13" s="64">
        <v>2020</v>
      </c>
      <c r="D13" s="64">
        <v>2019</v>
      </c>
      <c r="E13" s="64">
        <v>2018</v>
      </c>
      <c r="F13" s="64">
        <v>2017</v>
      </c>
      <c r="X13" s="8" t="s">
        <v>168</v>
      </c>
      <c r="Y13" s="2">
        <v>21017376</v>
      </c>
      <c r="Z13" s="2">
        <v>20217974</v>
      </c>
      <c r="AA13" s="9">
        <v>18235061</v>
      </c>
      <c r="AB13" s="2">
        <v>16240514</v>
      </c>
      <c r="AC13" s="2">
        <v>14948796</v>
      </c>
    </row>
    <row r="14" spans="1:29" ht="18">
      <c r="A14" s="71"/>
      <c r="B14" s="68">
        <f>Y13/Y14</f>
        <v>2.1632311221397296</v>
      </c>
      <c r="C14" s="68">
        <f>Z13/Z14</f>
        <v>1.8622068330681127</v>
      </c>
      <c r="D14" s="68">
        <f>AA13/AA14</f>
        <v>2.5983639552624069</v>
      </c>
      <c r="E14" s="68">
        <f>AB13/AB14</f>
        <v>3.6649729491131002</v>
      </c>
      <c r="F14" s="68">
        <f>AC13/AC14</f>
        <v>2.9187255915337253</v>
      </c>
      <c r="X14" s="8" t="s">
        <v>169</v>
      </c>
      <c r="Y14" s="2">
        <v>9715733</v>
      </c>
      <c r="Z14" s="2">
        <v>10856997</v>
      </c>
      <c r="AA14" s="9">
        <v>7017901</v>
      </c>
      <c r="AB14" s="2">
        <v>4431278</v>
      </c>
      <c r="AC14" s="2">
        <v>5121686</v>
      </c>
    </row>
    <row r="15" spans="1:29" ht="18">
      <c r="A15" s="67" t="s">
        <v>161</v>
      </c>
      <c r="B15" s="70">
        <v>5</v>
      </c>
      <c r="C15" s="70">
        <v>5</v>
      </c>
      <c r="D15" s="70">
        <v>5</v>
      </c>
      <c r="E15" s="70">
        <v>5</v>
      </c>
      <c r="F15" s="70">
        <v>5</v>
      </c>
      <c r="X15" s="5" t="s">
        <v>164</v>
      </c>
    </row>
    <row r="16" spans="1:29" ht="18">
      <c r="A16" s="67" t="s">
        <v>162</v>
      </c>
      <c r="B16" s="68">
        <v>0.25</v>
      </c>
      <c r="C16" s="68">
        <v>0.25</v>
      </c>
      <c r="D16" s="68">
        <v>0.25</v>
      </c>
      <c r="E16" s="68">
        <v>0.25</v>
      </c>
      <c r="F16" s="68">
        <v>0.25</v>
      </c>
    </row>
    <row r="17" spans="1:44" ht="18">
      <c r="A17" s="67" t="s">
        <v>163</v>
      </c>
      <c r="B17" s="79">
        <f>B15*B16</f>
        <v>1.25</v>
      </c>
      <c r="C17" s="79">
        <f t="shared" ref="C17:F17" si="3">C15*C16</f>
        <v>1.25</v>
      </c>
      <c r="D17" s="79">
        <f t="shared" si="3"/>
        <v>1.25</v>
      </c>
      <c r="E17" s="79">
        <f t="shared" si="3"/>
        <v>1.25</v>
      </c>
      <c r="F17" s="79">
        <f t="shared" si="3"/>
        <v>1.25</v>
      </c>
      <c r="Y17" s="50">
        <v>2021</v>
      </c>
      <c r="Z17" s="50">
        <v>2020</v>
      </c>
      <c r="AA17" s="50">
        <v>2019</v>
      </c>
      <c r="AB17" s="50">
        <v>2018</v>
      </c>
      <c r="AC17" s="50">
        <v>2017</v>
      </c>
    </row>
    <row r="18" spans="1:44" ht="14.4">
      <c r="A18" s="58"/>
      <c r="B18" s="58"/>
      <c r="C18" s="58"/>
      <c r="D18" s="58"/>
      <c r="E18" s="58"/>
      <c r="F18" s="58"/>
      <c r="Q18" s="5" t="s">
        <v>171</v>
      </c>
      <c r="X18" s="1" t="s">
        <v>6</v>
      </c>
      <c r="Y18" s="2">
        <v>616231172</v>
      </c>
      <c r="Z18" s="2">
        <v>449611987</v>
      </c>
      <c r="AA18" s="2">
        <v>305435633</v>
      </c>
      <c r="AB18" s="3">
        <v>260233987</v>
      </c>
      <c r="AC18" s="2">
        <v>314956748</v>
      </c>
    </row>
    <row r="19" spans="1:44" s="17" customFormat="1" ht="18">
      <c r="A19" s="63" t="s">
        <v>181</v>
      </c>
      <c r="B19" s="64">
        <v>2021</v>
      </c>
      <c r="C19" s="64">
        <v>2020</v>
      </c>
      <c r="D19" s="64">
        <v>2019</v>
      </c>
      <c r="E19" s="64">
        <v>2018</v>
      </c>
      <c r="F19" s="64">
        <v>2017</v>
      </c>
      <c r="Q19" s="5"/>
      <c r="X19" s="10" t="s">
        <v>172</v>
      </c>
      <c r="Y19" s="5">
        <v>1510245</v>
      </c>
      <c r="Z19" s="5">
        <v>1436420</v>
      </c>
      <c r="AA19" s="5">
        <v>1272261</v>
      </c>
      <c r="AB19" s="5">
        <v>971446</v>
      </c>
      <c r="AC19" s="5">
        <v>1652135</v>
      </c>
    </row>
    <row r="20" spans="1:44" s="17" customFormat="1" ht="18">
      <c r="A20" s="78" t="s">
        <v>194</v>
      </c>
      <c r="B20" s="68">
        <f>Sheet1!C78</f>
        <v>7.7150101433810826E-3</v>
      </c>
      <c r="C20" s="68">
        <f>Sheet1!D78</f>
        <v>1.0934779795576284E-2</v>
      </c>
      <c r="D20" s="68">
        <f>Sheet1!E78</f>
        <v>8.420372806118636E-3</v>
      </c>
      <c r="E20" s="68">
        <f>Sheet1!F78</f>
        <v>6.2706816298168455E-3</v>
      </c>
      <c r="F20" s="68">
        <f>Sheet1!G78</f>
        <v>7.7257317865974872E-3</v>
      </c>
      <c r="Q20" s="5"/>
      <c r="X20" s="57"/>
      <c r="Y20" s="5"/>
      <c r="Z20" s="5"/>
      <c r="AA20" s="5"/>
      <c r="AB20" s="5"/>
      <c r="AC20" s="5"/>
    </row>
    <row r="21" spans="1:44" ht="18">
      <c r="A21" s="67" t="s">
        <v>161</v>
      </c>
      <c r="B21" s="70">
        <v>4</v>
      </c>
      <c r="C21" s="70">
        <v>3</v>
      </c>
      <c r="D21" s="70">
        <v>4</v>
      </c>
      <c r="E21" s="70">
        <v>5</v>
      </c>
      <c r="F21" s="70">
        <v>4</v>
      </c>
      <c r="Q21" s="5" t="s">
        <v>171</v>
      </c>
      <c r="X21" s="57"/>
      <c r="Y21" s="5"/>
      <c r="Z21" s="5"/>
      <c r="AA21" s="5"/>
      <c r="AB21" s="5"/>
      <c r="AC21" s="5"/>
    </row>
    <row r="22" spans="1:44" ht="18">
      <c r="A22" s="67" t="s">
        <v>162</v>
      </c>
      <c r="B22" s="68">
        <v>0.15</v>
      </c>
      <c r="C22" s="68">
        <v>0.15</v>
      </c>
      <c r="D22" s="68">
        <v>0.15</v>
      </c>
      <c r="E22" s="68">
        <v>0.15</v>
      </c>
      <c r="F22" s="68">
        <v>0.15</v>
      </c>
      <c r="X22" s="10" t="s">
        <v>174</v>
      </c>
      <c r="Y22" s="5" t="s">
        <v>171</v>
      </c>
      <c r="Z22" s="5" t="s">
        <v>171</v>
      </c>
      <c r="AA22" s="5" t="s">
        <v>171</v>
      </c>
      <c r="AB22" s="5" t="s">
        <v>171</v>
      </c>
      <c r="AC22" s="5">
        <v>375075</v>
      </c>
    </row>
    <row r="23" spans="1:44" ht="18">
      <c r="A23" s="67" t="s">
        <v>177</v>
      </c>
      <c r="B23" s="79">
        <f t="shared" ref="B23:F23" si="4">B21*B22</f>
        <v>0.6</v>
      </c>
      <c r="C23" s="79">
        <f t="shared" si="4"/>
        <v>0.44999999999999996</v>
      </c>
      <c r="D23" s="79">
        <f t="shared" si="4"/>
        <v>0.6</v>
      </c>
      <c r="E23" s="79">
        <f t="shared" si="4"/>
        <v>0.75</v>
      </c>
      <c r="F23" s="79">
        <f t="shared" si="4"/>
        <v>0.6</v>
      </c>
      <c r="X23" s="10" t="s">
        <v>176</v>
      </c>
      <c r="Y23" s="7">
        <f t="shared" ref="Y23:AB23" si="5">Y18-Y19</f>
        <v>614720927</v>
      </c>
      <c r="Z23" s="7">
        <f t="shared" si="5"/>
        <v>448175567</v>
      </c>
      <c r="AA23" s="7">
        <f t="shared" si="5"/>
        <v>304163372</v>
      </c>
      <c r="AB23" s="7">
        <f t="shared" si="5"/>
        <v>259262541</v>
      </c>
      <c r="AC23" s="7">
        <f>AC18-AC19-AC22</f>
        <v>312929538</v>
      </c>
    </row>
    <row r="24" spans="1:44" ht="18">
      <c r="A24" s="78" t="s">
        <v>195</v>
      </c>
      <c r="B24" s="68">
        <f>Sheet1!C77</f>
        <v>0.17336872560295868</v>
      </c>
      <c r="C24" s="68">
        <f>Sheet1!D77</f>
        <v>0.19855054586784965</v>
      </c>
      <c r="D24" s="68">
        <f>Sheet1!E77</f>
        <v>0.16550801169835996</v>
      </c>
      <c r="E24" s="68">
        <f>Sheet1!F77</f>
        <v>0.13188185686457357</v>
      </c>
      <c r="F24" s="68">
        <f>Sheet1!G77</f>
        <v>0.15737129698491048</v>
      </c>
      <c r="X24" s="8" t="s">
        <v>13</v>
      </c>
      <c r="Y24" s="2">
        <v>1259328610</v>
      </c>
      <c r="Z24" s="2">
        <v>992886661</v>
      </c>
      <c r="AA24" s="9">
        <v>833443027</v>
      </c>
      <c r="AB24" s="2">
        <v>706666079</v>
      </c>
      <c r="AC24" s="2">
        <v>662938624</v>
      </c>
    </row>
    <row r="25" spans="1:44" ht="18">
      <c r="A25" s="67" t="s">
        <v>161</v>
      </c>
      <c r="B25" s="70">
        <v>2</v>
      </c>
      <c r="C25" s="70">
        <v>2</v>
      </c>
      <c r="D25" s="70">
        <v>3</v>
      </c>
      <c r="E25" s="70">
        <v>3</v>
      </c>
      <c r="F25" s="70">
        <v>3</v>
      </c>
    </row>
    <row r="26" spans="1:44" ht="18">
      <c r="A26" s="67" t="s">
        <v>162</v>
      </c>
      <c r="B26" s="68">
        <v>0.15</v>
      </c>
      <c r="C26" s="68">
        <v>0.15</v>
      </c>
      <c r="D26" s="68">
        <v>0.15</v>
      </c>
      <c r="E26" s="68">
        <v>0.15</v>
      </c>
      <c r="F26" s="68">
        <v>0.15</v>
      </c>
    </row>
    <row r="27" spans="1:44" ht="15" customHeight="1">
      <c r="A27" s="67" t="s">
        <v>182</v>
      </c>
      <c r="B27" s="79">
        <f t="shared" ref="B27:F27" si="6">B25*B26</f>
        <v>0.3</v>
      </c>
      <c r="C27" s="79">
        <f t="shared" si="6"/>
        <v>0.3</v>
      </c>
      <c r="D27" s="79">
        <f t="shared" si="6"/>
        <v>0.44999999999999996</v>
      </c>
      <c r="E27" s="79">
        <f t="shared" si="6"/>
        <v>0.44999999999999996</v>
      </c>
      <c r="F27" s="79">
        <f t="shared" si="6"/>
        <v>0.44999999999999996</v>
      </c>
    </row>
    <row r="28" spans="1:44" ht="14.4">
      <c r="A28" s="58"/>
      <c r="B28" s="58"/>
      <c r="C28" s="58"/>
      <c r="D28" s="58"/>
      <c r="E28" s="58"/>
      <c r="F28" s="58"/>
      <c r="AM28" s="81"/>
      <c r="AN28" s="82">
        <v>2021</v>
      </c>
      <c r="AO28" s="82">
        <v>2020</v>
      </c>
      <c r="AP28" s="82">
        <v>2019</v>
      </c>
      <c r="AQ28" s="82">
        <v>2018</v>
      </c>
      <c r="AR28" s="82">
        <v>2017</v>
      </c>
    </row>
    <row r="29" spans="1:44" ht="18">
      <c r="A29" s="63" t="s">
        <v>192</v>
      </c>
      <c r="B29" s="64">
        <v>2021</v>
      </c>
      <c r="C29" s="64">
        <v>2020</v>
      </c>
      <c r="D29" s="64">
        <v>2019</v>
      </c>
      <c r="E29" s="64">
        <v>2018</v>
      </c>
      <c r="F29" s="64">
        <v>2017</v>
      </c>
      <c r="AM29" s="81" t="s">
        <v>197</v>
      </c>
      <c r="AN29" s="83">
        <v>477673022</v>
      </c>
      <c r="AO29" s="83">
        <v>395416055</v>
      </c>
      <c r="AP29" s="83">
        <v>372913863</v>
      </c>
      <c r="AQ29" s="83">
        <v>343107147</v>
      </c>
      <c r="AR29" s="83">
        <v>258693086</v>
      </c>
    </row>
    <row r="30" spans="1:44" ht="18">
      <c r="A30" s="78" t="s">
        <v>196</v>
      </c>
      <c r="B30" s="68">
        <f>Y65/Y66</f>
        <v>0.47033079582048987</v>
      </c>
      <c r="C30" s="68">
        <f>Z65/Z66</f>
        <v>0.49972256874796983</v>
      </c>
      <c r="D30" s="68">
        <f>AA65/AA66</f>
        <v>0.54896886349015672</v>
      </c>
      <c r="E30" s="68">
        <f>Y69/Y70</f>
        <v>0.59812668660962698</v>
      </c>
      <c r="F30" s="68">
        <f>Z69/Z70</f>
        <v>0.49199137327693759</v>
      </c>
      <c r="AM30" s="81" t="s">
        <v>198</v>
      </c>
      <c r="AN30" s="83">
        <v>1259328610</v>
      </c>
      <c r="AO30" s="83">
        <v>992886661</v>
      </c>
      <c r="AP30" s="83">
        <v>833433027</v>
      </c>
      <c r="AQ30" s="83">
        <v>706451322</v>
      </c>
      <c r="AR30" s="83">
        <v>662610675</v>
      </c>
    </row>
    <row r="31" spans="1:44" ht="18">
      <c r="A31" s="67" t="s">
        <v>161</v>
      </c>
      <c r="B31" s="70">
        <v>1</v>
      </c>
      <c r="C31" s="70">
        <v>1</v>
      </c>
      <c r="D31" s="70">
        <v>1</v>
      </c>
      <c r="E31" s="70">
        <v>1</v>
      </c>
      <c r="F31" s="70">
        <v>1</v>
      </c>
      <c r="AM31" s="81"/>
      <c r="AN31" s="81">
        <f>477673022/1259328610</f>
        <v>0.37930768681575494</v>
      </c>
      <c r="AO31" s="81">
        <f>395416055/992886661</f>
        <v>0.39824893467875888</v>
      </c>
      <c r="AP31" s="81">
        <f>372913863/833433027</f>
        <v>0.44744310690725725</v>
      </c>
      <c r="AQ31" s="81">
        <f>343107147/706451322</f>
        <v>0.48567698341712495</v>
      </c>
      <c r="AR31" s="81">
        <f>258693086/662610675</f>
        <v>0.39041490842265708</v>
      </c>
    </row>
    <row r="32" spans="1:44" ht="18">
      <c r="A32" s="67" t="s">
        <v>162</v>
      </c>
      <c r="B32" s="68">
        <v>0.05</v>
      </c>
      <c r="C32" s="68">
        <v>0.05</v>
      </c>
      <c r="D32" s="68">
        <v>0.05</v>
      </c>
      <c r="E32" s="68">
        <v>0.05</v>
      </c>
      <c r="F32" s="68">
        <v>0.05</v>
      </c>
    </row>
    <row r="33" spans="1:29" ht="18">
      <c r="A33" s="67" t="s">
        <v>163</v>
      </c>
      <c r="B33" s="79">
        <f t="shared" ref="B33:F33" si="7">B31*B32</f>
        <v>0.05</v>
      </c>
      <c r="C33" s="79">
        <f t="shared" si="7"/>
        <v>0.05</v>
      </c>
      <c r="D33" s="79">
        <f t="shared" si="7"/>
        <v>0.05</v>
      </c>
      <c r="E33" s="79">
        <f t="shared" si="7"/>
        <v>0.05</v>
      </c>
      <c r="F33" s="79">
        <f t="shared" si="7"/>
        <v>0.05</v>
      </c>
    </row>
    <row r="34" spans="1:29" ht="18">
      <c r="A34" s="67" t="s">
        <v>193</v>
      </c>
      <c r="B34" s="84">
        <f>AN29/AN30</f>
        <v>0.37930768681575494</v>
      </c>
      <c r="C34" s="84">
        <f t="shared" ref="C34:F34" si="8">AO29/AO30</f>
        <v>0.39824893467875888</v>
      </c>
      <c r="D34" s="84">
        <f t="shared" si="8"/>
        <v>0.44744310690725725</v>
      </c>
      <c r="E34" s="84">
        <f t="shared" si="8"/>
        <v>0.48567698341712495</v>
      </c>
      <c r="F34" s="84">
        <f t="shared" si="8"/>
        <v>0.39041490842265708</v>
      </c>
    </row>
    <row r="35" spans="1:29" ht="18">
      <c r="A35" s="67" t="s">
        <v>161</v>
      </c>
      <c r="B35" s="72">
        <v>1</v>
      </c>
      <c r="C35" s="72">
        <v>1</v>
      </c>
      <c r="D35" s="72">
        <v>1</v>
      </c>
      <c r="E35" s="72">
        <v>1</v>
      </c>
      <c r="F35" s="72">
        <v>1</v>
      </c>
    </row>
    <row r="36" spans="1:29" ht="18">
      <c r="A36" s="67" t="s">
        <v>162</v>
      </c>
      <c r="B36" s="77">
        <v>0.05</v>
      </c>
      <c r="C36" s="77">
        <v>0.05</v>
      </c>
      <c r="D36" s="77">
        <v>0.05</v>
      </c>
      <c r="E36" s="77">
        <v>0.05</v>
      </c>
      <c r="F36" s="77">
        <v>0.05</v>
      </c>
    </row>
    <row r="37" spans="1:29" ht="15" customHeight="1">
      <c r="A37" s="67" t="s">
        <v>163</v>
      </c>
      <c r="B37" s="67">
        <f>B35*B36</f>
        <v>0.05</v>
      </c>
      <c r="C37" s="67">
        <f t="shared" ref="C37:F37" si="9">C35*C36</f>
        <v>0.05</v>
      </c>
      <c r="D37" s="67">
        <f t="shared" si="9"/>
        <v>0.05</v>
      </c>
      <c r="E37" s="67">
        <f t="shared" si="9"/>
        <v>0.05</v>
      </c>
      <c r="F37" s="67">
        <f t="shared" si="9"/>
        <v>0.05</v>
      </c>
    </row>
    <row r="38" spans="1:29" ht="14.4">
      <c r="A38" s="62"/>
      <c r="B38" s="62"/>
      <c r="C38" s="62"/>
      <c r="D38" s="62"/>
      <c r="E38" s="62"/>
      <c r="F38" s="62"/>
      <c r="X38" s="255" t="s">
        <v>159</v>
      </c>
      <c r="Y38" s="256"/>
      <c r="Z38" s="256"/>
      <c r="AA38" s="256"/>
      <c r="AB38" s="256"/>
      <c r="AC38" s="256"/>
    </row>
    <row r="39" spans="1:29" ht="18">
      <c r="A39" s="63" t="s">
        <v>173</v>
      </c>
      <c r="B39" s="64">
        <v>2021</v>
      </c>
      <c r="C39" s="64">
        <v>2020</v>
      </c>
      <c r="D39" s="64">
        <v>2019</v>
      </c>
      <c r="E39" s="64">
        <v>2018</v>
      </c>
      <c r="F39" s="64">
        <v>2017</v>
      </c>
      <c r="X39" s="51" t="s">
        <v>160</v>
      </c>
      <c r="Y39" s="50">
        <v>2021</v>
      </c>
      <c r="Z39" s="50">
        <v>2020</v>
      </c>
      <c r="AA39" s="50">
        <v>2019</v>
      </c>
      <c r="AB39" s="50">
        <v>2018</v>
      </c>
      <c r="AC39" s="50">
        <v>2017</v>
      </c>
    </row>
    <row r="40" spans="1:29" ht="18">
      <c r="A40" s="71"/>
      <c r="B40" s="68">
        <f>Y23/Y24</f>
        <v>0.48813385332363729</v>
      </c>
      <c r="C40" s="68">
        <f>Z23/Z24</f>
        <v>0.45138643170874465</v>
      </c>
      <c r="D40" s="68">
        <f>AA23/AA24</f>
        <v>0.36494800741790834</v>
      </c>
      <c r="E40" s="68">
        <f>AB23/AB24</f>
        <v>0.36688125934512272</v>
      </c>
      <c r="F40" s="68">
        <f>AC23/AC24</f>
        <v>0.47203395106452567</v>
      </c>
      <c r="X40" s="52"/>
      <c r="Y40" s="52"/>
      <c r="Z40" s="52"/>
      <c r="AA40" s="52"/>
      <c r="AB40" s="52"/>
      <c r="AC40" s="52"/>
    </row>
    <row r="41" spans="1:29" ht="18">
      <c r="A41" s="67" t="s">
        <v>175</v>
      </c>
      <c r="B41" s="70">
        <v>5</v>
      </c>
      <c r="C41" s="70">
        <v>5</v>
      </c>
      <c r="D41" s="70">
        <v>5</v>
      </c>
      <c r="E41" s="70">
        <v>5</v>
      </c>
      <c r="F41" s="70">
        <v>5</v>
      </c>
      <c r="X41" s="53" t="s">
        <v>106</v>
      </c>
      <c r="Y41" s="54">
        <v>0.1338</v>
      </c>
      <c r="Z41" s="54">
        <v>0.15479999999999999</v>
      </c>
      <c r="AA41" s="54">
        <v>0.1338</v>
      </c>
      <c r="AB41" s="54">
        <v>0.12509999999999999</v>
      </c>
      <c r="AC41" s="54">
        <v>0.12089999999999999</v>
      </c>
    </row>
    <row r="42" spans="1:29" ht="18">
      <c r="A42" s="67" t="s">
        <v>162</v>
      </c>
      <c r="B42" s="68">
        <v>0.1</v>
      </c>
      <c r="C42" s="68">
        <v>0.1</v>
      </c>
      <c r="D42" s="68">
        <v>0.1</v>
      </c>
      <c r="E42" s="68">
        <v>0.1</v>
      </c>
      <c r="F42" s="68">
        <v>0.1</v>
      </c>
      <c r="X42" s="53" t="s">
        <v>161</v>
      </c>
      <c r="Y42" s="55">
        <v>1</v>
      </c>
      <c r="Z42" s="55">
        <v>1</v>
      </c>
      <c r="AA42" s="55">
        <v>1</v>
      </c>
      <c r="AB42" s="55">
        <v>1</v>
      </c>
      <c r="AC42" s="55">
        <v>1</v>
      </c>
    </row>
    <row r="43" spans="1:29" ht="18">
      <c r="A43" s="67" t="s">
        <v>163</v>
      </c>
      <c r="B43" s="79">
        <f>B41*B42</f>
        <v>0.5</v>
      </c>
      <c r="C43" s="79">
        <f t="shared" ref="C43:F43" si="10">C41*C42</f>
        <v>0.5</v>
      </c>
      <c r="D43" s="79">
        <f t="shared" si="10"/>
        <v>0.5</v>
      </c>
      <c r="E43" s="79">
        <f t="shared" si="10"/>
        <v>0.5</v>
      </c>
      <c r="F43" s="79">
        <f t="shared" si="10"/>
        <v>0.5</v>
      </c>
      <c r="X43" s="53" t="s">
        <v>162</v>
      </c>
      <c r="Y43" s="54">
        <v>0.2</v>
      </c>
      <c r="Z43" s="54">
        <v>0.2</v>
      </c>
      <c r="AA43" s="54">
        <v>0.2</v>
      </c>
      <c r="AB43" s="54">
        <v>0.2</v>
      </c>
      <c r="AC43" s="54">
        <v>0.2</v>
      </c>
    </row>
    <row r="45" spans="1:29" ht="14.4">
      <c r="X45" s="10" t="s">
        <v>164</v>
      </c>
      <c r="Y45" s="50">
        <v>2021</v>
      </c>
      <c r="Z45" s="50">
        <v>2020</v>
      </c>
      <c r="AA45" s="50">
        <v>2019</v>
      </c>
      <c r="AB45" s="50">
        <v>2018</v>
      </c>
      <c r="AC45" s="50">
        <v>2017</v>
      </c>
    </row>
    <row r="47" spans="1:29" ht="14.4">
      <c r="X47" s="10" t="s">
        <v>167</v>
      </c>
      <c r="Y47" s="37">
        <v>2.1632311221397296</v>
      </c>
      <c r="Z47" s="37">
        <v>1.8622068330681127</v>
      </c>
      <c r="AA47" s="37">
        <v>2.5983639552624069</v>
      </c>
      <c r="AB47" s="37">
        <v>3.6649729491131002</v>
      </c>
      <c r="AC47" s="37">
        <v>2.9187255915337253</v>
      </c>
    </row>
    <row r="48" spans="1:29" ht="15" customHeight="1">
      <c r="X48" s="10" t="s">
        <v>161</v>
      </c>
      <c r="Y48" s="10">
        <v>5</v>
      </c>
      <c r="Z48" s="10">
        <v>5</v>
      </c>
      <c r="AA48" s="10">
        <v>5</v>
      </c>
      <c r="AB48" s="10">
        <v>5</v>
      </c>
      <c r="AC48" s="10">
        <v>5</v>
      </c>
    </row>
    <row r="49" spans="24:29" ht="15" customHeight="1">
      <c r="X49" s="10" t="s">
        <v>162</v>
      </c>
      <c r="Y49" s="56">
        <v>0.25</v>
      </c>
      <c r="Z49" s="56">
        <v>0.25</v>
      </c>
      <c r="AA49" s="56">
        <v>0.25</v>
      </c>
      <c r="AB49" s="56">
        <v>0.25</v>
      </c>
      <c r="AC49" s="56">
        <v>0.25</v>
      </c>
    </row>
    <row r="50" spans="24:29" ht="15" customHeight="1">
      <c r="X50" s="10" t="s">
        <v>163</v>
      </c>
      <c r="Y50" s="33">
        <f t="shared" ref="Y50:AC50" si="11">Y48*Y49</f>
        <v>1.25</v>
      </c>
      <c r="Z50" s="33">
        <f t="shared" si="11"/>
        <v>1.25</v>
      </c>
      <c r="AA50" s="33">
        <f t="shared" si="11"/>
        <v>1.25</v>
      </c>
      <c r="AB50" s="33">
        <f t="shared" si="11"/>
        <v>1.25</v>
      </c>
      <c r="AC50" s="33">
        <f t="shared" si="11"/>
        <v>1.25</v>
      </c>
    </row>
    <row r="52" spans="24:29" ht="15" customHeight="1">
      <c r="X52" s="10" t="s">
        <v>170</v>
      </c>
      <c r="Y52" s="50">
        <v>2021</v>
      </c>
      <c r="Z52" s="50">
        <v>2020</v>
      </c>
      <c r="AA52" s="50">
        <v>2019</v>
      </c>
      <c r="AB52" s="50">
        <v>2018</v>
      </c>
      <c r="AC52" s="50">
        <v>2017</v>
      </c>
    </row>
    <row r="54" spans="24:29" ht="15" customHeight="1">
      <c r="X54" s="10" t="s">
        <v>173</v>
      </c>
      <c r="Y54" s="37">
        <v>0.48813385332363729</v>
      </c>
      <c r="Z54" s="37">
        <v>0.45138643170874465</v>
      </c>
      <c r="AA54" s="37">
        <v>0.36494800741790834</v>
      </c>
      <c r="AB54" s="37">
        <v>0.36688125934512272</v>
      </c>
      <c r="AC54" s="37">
        <v>0.47203395106452567</v>
      </c>
    </row>
    <row r="55" spans="24:29" ht="15" customHeight="1">
      <c r="X55" s="10" t="s">
        <v>175</v>
      </c>
      <c r="Y55" s="10">
        <v>5</v>
      </c>
      <c r="Z55" s="10">
        <v>5</v>
      </c>
      <c r="AA55" s="10">
        <v>5</v>
      </c>
      <c r="AB55" s="10">
        <v>5</v>
      </c>
      <c r="AC55" s="10">
        <v>5</v>
      </c>
    </row>
    <row r="56" spans="24:29" ht="15" customHeight="1">
      <c r="X56" s="10" t="s">
        <v>162</v>
      </c>
      <c r="Y56" s="56">
        <v>0.1</v>
      </c>
      <c r="Z56" s="56">
        <v>0.1</v>
      </c>
      <c r="AA56" s="56">
        <v>0.1</v>
      </c>
      <c r="AB56" s="56">
        <v>0.1</v>
      </c>
      <c r="AC56" s="56">
        <v>0.1</v>
      </c>
    </row>
    <row r="57" spans="24:29" ht="15" customHeight="1">
      <c r="X57" s="10" t="s">
        <v>163</v>
      </c>
      <c r="Y57" s="33">
        <f t="shared" ref="Y57:AC57" si="12">Y55*Y56</f>
        <v>0.5</v>
      </c>
      <c r="Z57" s="33">
        <f t="shared" si="12"/>
        <v>0.5</v>
      </c>
      <c r="AA57" s="33">
        <f t="shared" si="12"/>
        <v>0.5</v>
      </c>
      <c r="AB57" s="33">
        <f t="shared" si="12"/>
        <v>0.5</v>
      </c>
      <c r="AC57" s="33">
        <f t="shared" si="12"/>
        <v>0.5</v>
      </c>
    </row>
    <row r="62" spans="24:29" ht="15" customHeight="1">
      <c r="X62" s="5" t="s">
        <v>76</v>
      </c>
    </row>
    <row r="65" spans="24:29" ht="15" customHeight="1">
      <c r="X65" s="5" t="s">
        <v>7</v>
      </c>
      <c r="Y65" s="6">
        <v>477588</v>
      </c>
      <c r="Z65" s="6">
        <v>395374</v>
      </c>
      <c r="AA65" s="6">
        <v>372914</v>
      </c>
    </row>
    <row r="66" spans="24:29" ht="15" customHeight="1">
      <c r="X66" s="5" t="s">
        <v>178</v>
      </c>
      <c r="Y66" s="6">
        <v>1015430</v>
      </c>
      <c r="Z66" s="6">
        <v>791187</v>
      </c>
      <c r="AA66" s="6">
        <v>679299</v>
      </c>
    </row>
    <row r="69" spans="24:29" ht="15" customHeight="1">
      <c r="Y69" s="6">
        <v>343107</v>
      </c>
      <c r="Z69" s="6">
        <v>258693</v>
      </c>
    </row>
    <row r="70" spans="24:29" ht="15" customHeight="1">
      <c r="Y70" s="6">
        <v>573636</v>
      </c>
      <c r="Z70" s="6">
        <v>525808</v>
      </c>
    </row>
    <row r="72" spans="24:29" ht="15" customHeight="1">
      <c r="X72" s="131"/>
      <c r="Y72" s="131"/>
      <c r="Z72" s="131"/>
      <c r="AA72" s="131"/>
      <c r="AB72" s="131"/>
      <c r="AC72" s="131"/>
    </row>
    <row r="73" spans="24:29" ht="15" customHeight="1">
      <c r="X73" s="59"/>
      <c r="Y73" s="60">
        <v>2021</v>
      </c>
      <c r="Z73" s="60">
        <v>2020</v>
      </c>
      <c r="AA73" s="60">
        <v>2019</v>
      </c>
      <c r="AB73" s="60">
        <v>2018</v>
      </c>
      <c r="AC73" s="60">
        <v>2017</v>
      </c>
    </row>
    <row r="74" spans="24:29" ht="15" customHeight="1">
      <c r="X74" s="60" t="s">
        <v>7</v>
      </c>
      <c r="Y74" s="61">
        <v>477673022</v>
      </c>
      <c r="Z74" s="61">
        <v>395416055</v>
      </c>
      <c r="AA74" s="61">
        <v>372913863</v>
      </c>
      <c r="AB74" s="61">
        <v>343107147</v>
      </c>
      <c r="AC74" s="61">
        <v>258693086</v>
      </c>
    </row>
    <row r="75" spans="24:29" ht="15" customHeight="1">
      <c r="X75" s="60" t="s">
        <v>165</v>
      </c>
      <c r="Y75" s="61">
        <v>31165327</v>
      </c>
      <c r="Z75" s="61">
        <v>28736399</v>
      </c>
      <c r="AA75" s="61">
        <v>28133973</v>
      </c>
      <c r="AB75" s="61">
        <v>26657086</v>
      </c>
      <c r="AC75" s="61">
        <v>26753027</v>
      </c>
    </row>
    <row r="76" spans="24:29" ht="15" customHeight="1">
      <c r="X76" s="60" t="s">
        <v>166</v>
      </c>
      <c r="Y76" s="61">
        <v>28518930</v>
      </c>
      <c r="Z76" s="61">
        <v>24842078</v>
      </c>
      <c r="AA76" s="61">
        <v>24408056</v>
      </c>
      <c r="AB76" s="61">
        <v>25113169</v>
      </c>
      <c r="AC76" s="61">
        <v>24962069</v>
      </c>
    </row>
  </sheetData>
  <mergeCells count="1">
    <mergeCell ref="X38:AC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02B1-AE6A-4675-B66A-47C28871E882}">
  <dimension ref="N104:AK104"/>
  <sheetViews>
    <sheetView zoomScale="40" zoomScaleNormal="55" workbookViewId="0">
      <selection activeCell="AB161" sqref="AB161"/>
    </sheetView>
  </sheetViews>
  <sheetFormatPr defaultRowHeight="14.4"/>
  <sheetData>
    <row r="104" spans="14:37" ht="91.8">
      <c r="N104" s="257" t="s">
        <v>273</v>
      </c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  <c r="AF104" s="257"/>
      <c r="AG104" s="257"/>
      <c r="AH104" s="257"/>
      <c r="AI104" s="257"/>
      <c r="AJ104" s="257"/>
      <c r="AK104" s="257"/>
    </row>
  </sheetData>
  <mergeCells count="1">
    <mergeCell ref="N104:AK10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E5BF-13E8-4A70-AE3F-76778565A2B7}">
  <dimension ref="A1"/>
  <sheetViews>
    <sheetView topLeftCell="F21" zoomScale="55" workbookViewId="0">
      <selection activeCell="L100" sqref="L100"/>
    </sheetView>
  </sheetViews>
  <sheetFormatPr defaultRowHeight="14.4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B511-3461-4042-A276-C5F07E97331D}">
  <dimension ref="B2:M69"/>
  <sheetViews>
    <sheetView tabSelected="1" topLeftCell="L27" zoomScale="59" workbookViewId="0">
      <selection activeCell="Z74" sqref="Z74"/>
    </sheetView>
  </sheetViews>
  <sheetFormatPr defaultRowHeight="14.4"/>
  <cols>
    <col min="2" max="2" width="17.21875" bestFit="1" customWidth="1"/>
    <col min="8" max="8" width="22.44140625" bestFit="1" customWidth="1"/>
  </cols>
  <sheetData>
    <row r="2" spans="2:13">
      <c r="B2" s="258" t="s">
        <v>278</v>
      </c>
      <c r="C2" s="258"/>
      <c r="D2" s="258"/>
      <c r="E2" s="258"/>
      <c r="F2" s="258"/>
      <c r="H2" s="260"/>
      <c r="I2" s="260"/>
      <c r="J2" s="260"/>
      <c r="K2" s="260"/>
      <c r="L2" s="260"/>
      <c r="M2" s="260"/>
    </row>
    <row r="3" spans="2:13">
      <c r="B3" s="239"/>
      <c r="C3" s="239">
        <v>2020</v>
      </c>
      <c r="D3" s="239">
        <v>2019</v>
      </c>
      <c r="E3" s="239">
        <v>2018</v>
      </c>
      <c r="F3" s="239">
        <v>2017</v>
      </c>
    </row>
    <row r="4" spans="2:13">
      <c r="B4" s="239" t="s">
        <v>279</v>
      </c>
      <c r="C4" s="240">
        <v>0.186</v>
      </c>
      <c r="D4" s="240">
        <v>0.17</v>
      </c>
      <c r="E4" s="240">
        <v>0.16200000000000001</v>
      </c>
      <c r="F4" s="240">
        <v>0.158</v>
      </c>
      <c r="H4" s="57"/>
      <c r="I4" s="33">
        <v>2020</v>
      </c>
      <c r="J4" s="33">
        <v>2019</v>
      </c>
      <c r="K4" s="33">
        <v>2018</v>
      </c>
      <c r="L4" s="33">
        <v>2017</v>
      </c>
    </row>
    <row r="5" spans="2:13">
      <c r="B5" s="239" t="s">
        <v>280</v>
      </c>
      <c r="C5" s="240">
        <v>9.1999999999999998E-2</v>
      </c>
      <c r="D5" s="240">
        <v>8.5999999999999993E-2</v>
      </c>
      <c r="E5" s="240">
        <v>0.08</v>
      </c>
      <c r="F5" s="240">
        <v>8.4000000000000005E-2</v>
      </c>
      <c r="H5" s="259" t="s">
        <v>280</v>
      </c>
      <c r="I5" s="259"/>
      <c r="J5" s="259"/>
      <c r="K5" s="259"/>
      <c r="L5" s="259"/>
    </row>
    <row r="6" spans="2:13">
      <c r="B6" s="239" t="s">
        <v>281</v>
      </c>
      <c r="C6" s="240">
        <v>0.01</v>
      </c>
      <c r="D6" s="240">
        <v>8.0000000000000002E-3</v>
      </c>
      <c r="E6" s="240">
        <v>8.0000000000000002E-3</v>
      </c>
      <c r="F6" s="240">
        <v>8.9999999999999993E-3</v>
      </c>
      <c r="H6" s="57" t="s">
        <v>278</v>
      </c>
      <c r="I6" s="218">
        <v>9.1999999999999998E-2</v>
      </c>
      <c r="J6" s="218">
        <v>8.5999999999999993E-2</v>
      </c>
      <c r="K6" s="218">
        <v>0.08</v>
      </c>
      <c r="L6" s="218">
        <v>8.4000000000000005E-2</v>
      </c>
    </row>
    <row r="7" spans="2:13">
      <c r="B7" s="239" t="s">
        <v>276</v>
      </c>
      <c r="C7" s="240">
        <v>0.13800000000000001</v>
      </c>
      <c r="D7" s="240">
        <v>0.113</v>
      </c>
      <c r="E7" s="240">
        <v>0.107</v>
      </c>
      <c r="F7" s="240">
        <v>0.115</v>
      </c>
      <c r="H7" s="57" t="s">
        <v>287</v>
      </c>
      <c r="I7" s="218">
        <v>7.0421052836031325E-2</v>
      </c>
      <c r="J7" s="218">
        <v>9.2957579679380439E-2</v>
      </c>
      <c r="K7" s="218">
        <v>8.673473681839268E-2</v>
      </c>
      <c r="L7" s="218">
        <v>0.11414060578020781</v>
      </c>
    </row>
    <row r="8" spans="2:13">
      <c r="B8" s="241"/>
      <c r="C8" s="241"/>
      <c r="D8" s="241"/>
      <c r="E8" s="241"/>
      <c r="F8" s="241"/>
      <c r="H8" s="57" t="s">
        <v>274</v>
      </c>
      <c r="I8" s="87">
        <v>7.2673829594501416E-2</v>
      </c>
      <c r="J8" s="87">
        <v>7.5438513527685089E-2</v>
      </c>
      <c r="K8" s="87">
        <v>7.7693181949369305E-2</v>
      </c>
      <c r="L8" s="87">
        <v>0.10341608820577447</v>
      </c>
    </row>
    <row r="9" spans="2:13">
      <c r="B9" s="258" t="s">
        <v>274</v>
      </c>
      <c r="C9" s="258"/>
      <c r="D9" s="258"/>
      <c r="E9" s="258"/>
      <c r="F9" s="258"/>
      <c r="H9" s="57" t="s">
        <v>293</v>
      </c>
      <c r="I9" s="242">
        <v>2.0928088235035013E-2</v>
      </c>
      <c r="J9" s="242">
        <v>6.2490326976696884E-3</v>
      </c>
      <c r="K9" s="242">
        <v>3.3092989879509693E-3</v>
      </c>
      <c r="L9" s="242">
        <v>4.5999872473845805E-3</v>
      </c>
      <c r="M9" s="209"/>
    </row>
    <row r="10" spans="2:13">
      <c r="B10" s="241"/>
      <c r="C10" s="239">
        <v>2020</v>
      </c>
      <c r="D10" s="239">
        <v>2019</v>
      </c>
      <c r="E10" s="239">
        <v>2018</v>
      </c>
      <c r="F10" s="239">
        <v>2017</v>
      </c>
      <c r="H10" s="259" t="s">
        <v>292</v>
      </c>
      <c r="I10" s="259"/>
      <c r="J10" s="259"/>
      <c r="K10" s="259"/>
      <c r="L10" s="259"/>
    </row>
    <row r="11" spans="2:13">
      <c r="B11" s="241" t="s">
        <v>285</v>
      </c>
      <c r="C11" s="242">
        <v>0.15479999999999999</v>
      </c>
      <c r="D11" s="242">
        <v>0.1338</v>
      </c>
      <c r="E11" s="242">
        <v>0.12509999999999999</v>
      </c>
      <c r="F11" s="242">
        <v>0.12089999999999999</v>
      </c>
      <c r="H11" s="233" t="s">
        <v>278</v>
      </c>
      <c r="I11" s="218">
        <v>0.01</v>
      </c>
      <c r="J11" s="218">
        <v>8.0000000000000002E-3</v>
      </c>
      <c r="K11" s="218">
        <v>8.0000000000000002E-3</v>
      </c>
      <c r="L11" s="218">
        <v>8.9999999999999993E-3</v>
      </c>
    </row>
    <row r="12" spans="2:13">
      <c r="B12" s="241" t="s">
        <v>286</v>
      </c>
      <c r="C12" s="242">
        <v>7.2673829594501416E-2</v>
      </c>
      <c r="D12" s="242">
        <v>7.5438513527685089E-2</v>
      </c>
      <c r="E12" s="242">
        <v>7.7693181949369305E-2</v>
      </c>
      <c r="F12" s="242">
        <v>0.10341608820577447</v>
      </c>
      <c r="H12" s="57" t="s">
        <v>287</v>
      </c>
      <c r="I12" s="218">
        <v>9.4084745874852601E-3</v>
      </c>
      <c r="J12" s="218">
        <v>9.5323340413202232E-3</v>
      </c>
      <c r="K12" s="218">
        <v>8.1435667468376435E-3</v>
      </c>
      <c r="L12" s="218">
        <v>9.1222598523904349E-3</v>
      </c>
    </row>
    <row r="13" spans="2:13">
      <c r="B13" s="241" t="s">
        <v>281</v>
      </c>
      <c r="C13" s="242">
        <v>1.0934779795576284E-2</v>
      </c>
      <c r="D13" s="242">
        <v>8.420372806118636E-3</v>
      </c>
      <c r="E13" s="242">
        <v>6.2706816298168455E-3</v>
      </c>
      <c r="F13" s="242">
        <v>7.7257317865974872E-3</v>
      </c>
      <c r="H13" s="57" t="s">
        <v>274</v>
      </c>
      <c r="I13" s="87">
        <v>1.0934779795576284E-2</v>
      </c>
      <c r="J13" s="87">
        <v>8.420372806118636E-3</v>
      </c>
      <c r="K13" s="87">
        <v>6.2706816298168455E-3</v>
      </c>
      <c r="L13" s="87">
        <v>7.7257317865974872E-3</v>
      </c>
    </row>
    <row r="14" spans="2:13">
      <c r="B14" s="241" t="s">
        <v>276</v>
      </c>
      <c r="C14" s="242">
        <v>0.19855054586784965</v>
      </c>
      <c r="D14" s="242">
        <v>0.16550801169835996</v>
      </c>
      <c r="E14" s="242">
        <v>0.13188185686457357</v>
      </c>
      <c r="F14" s="242">
        <v>0.15737129698491048</v>
      </c>
      <c r="H14" s="57" t="s">
        <v>293</v>
      </c>
      <c r="I14" s="242">
        <v>1.8192125887744371E-2</v>
      </c>
      <c r="J14" s="242">
        <v>2.5835817678350012E-2</v>
      </c>
      <c r="K14" s="242">
        <v>1.9510022799974897E-2</v>
      </c>
      <c r="L14" s="242">
        <v>1.6055271045212583E-2</v>
      </c>
    </row>
    <row r="15" spans="2:13">
      <c r="B15" s="258" t="s">
        <v>287</v>
      </c>
      <c r="C15" s="258"/>
      <c r="D15" s="258"/>
      <c r="E15" s="258"/>
      <c r="F15" s="258"/>
      <c r="H15" s="259" t="s">
        <v>291</v>
      </c>
      <c r="I15" s="259"/>
      <c r="J15" s="259"/>
      <c r="K15" s="259"/>
      <c r="L15" s="259"/>
    </row>
    <row r="16" spans="2:13">
      <c r="B16" s="241"/>
      <c r="C16" s="239">
        <v>2020</v>
      </c>
      <c r="D16" s="239">
        <v>2019</v>
      </c>
      <c r="E16" s="239">
        <v>2018</v>
      </c>
      <c r="F16" s="239">
        <v>2017</v>
      </c>
      <c r="H16" s="57" t="s">
        <v>278</v>
      </c>
      <c r="I16" s="218">
        <v>0.13800000000000001</v>
      </c>
      <c r="J16" s="218">
        <v>0.113</v>
      </c>
      <c r="K16" s="218">
        <v>0.107</v>
      </c>
      <c r="L16" s="218">
        <v>0.115</v>
      </c>
    </row>
    <row r="17" spans="2:12">
      <c r="B17" s="241" t="s">
        <v>285</v>
      </c>
      <c r="C17" s="240">
        <v>0.1867</v>
      </c>
      <c r="D17" s="240">
        <v>0.19089999999999999</v>
      </c>
      <c r="E17" s="240">
        <v>0.16719999999999999</v>
      </c>
      <c r="F17" s="240">
        <v>0.159</v>
      </c>
      <c r="H17" s="57" t="s">
        <v>287</v>
      </c>
      <c r="I17" s="218">
        <v>0.11094043887511737</v>
      </c>
      <c r="J17" s="218">
        <v>0.10875818778360442</v>
      </c>
      <c r="K17" s="218">
        <v>0.11223860180984883</v>
      </c>
      <c r="L17" s="218">
        <v>0.11507836048053903</v>
      </c>
    </row>
    <row r="18" spans="2:12">
      <c r="B18" s="241" t="s">
        <v>286</v>
      </c>
      <c r="C18" s="240">
        <v>7.0421052836031325E-2</v>
      </c>
      <c r="D18" s="240">
        <v>9.2957579679380439E-2</v>
      </c>
      <c r="E18" s="240">
        <v>8.673473681839268E-2</v>
      </c>
      <c r="F18" s="240">
        <v>0.11414060578020781</v>
      </c>
      <c r="H18" s="57" t="s">
        <v>274</v>
      </c>
      <c r="I18" s="87">
        <v>0.19855054586784965</v>
      </c>
      <c r="J18" s="87">
        <v>0.16550801169835996</v>
      </c>
      <c r="K18" s="87">
        <v>0.13188185686457357</v>
      </c>
      <c r="L18" s="87">
        <v>0.15737129698491048</v>
      </c>
    </row>
    <row r="19" spans="2:12">
      <c r="B19" s="241" t="s">
        <v>281</v>
      </c>
      <c r="C19" s="240">
        <v>9.4084745874852601E-3</v>
      </c>
      <c r="D19" s="240">
        <v>9.5323340413202232E-3</v>
      </c>
      <c r="E19" s="240">
        <v>8.1435667468376435E-3</v>
      </c>
      <c r="F19" s="240">
        <v>9.1222598523904349E-3</v>
      </c>
      <c r="H19" s="57" t="s">
        <v>293</v>
      </c>
      <c r="I19" s="242">
        <v>0.16079008484679008</v>
      </c>
      <c r="J19" s="242">
        <v>0.21966833763270299</v>
      </c>
      <c r="K19" s="242">
        <v>0.16715693981214802</v>
      </c>
      <c r="L19" s="242">
        <v>0.1310072266901332</v>
      </c>
    </row>
    <row r="20" spans="2:12">
      <c r="B20" s="241" t="s">
        <v>276</v>
      </c>
      <c r="C20" s="240">
        <v>0.11094043887511737</v>
      </c>
      <c r="D20" s="240">
        <v>0.10875818778360442</v>
      </c>
      <c r="E20" s="240">
        <v>0.11223860180984883</v>
      </c>
      <c r="F20" s="240">
        <v>0.11507836048053903</v>
      </c>
      <c r="H20" s="259" t="s">
        <v>290</v>
      </c>
      <c r="I20" s="259"/>
      <c r="J20" s="259"/>
      <c r="K20" s="259"/>
      <c r="L20" s="259"/>
    </row>
    <row r="21" spans="2:12">
      <c r="B21" s="258" t="s">
        <v>293</v>
      </c>
      <c r="C21" s="258"/>
      <c r="D21" s="258"/>
      <c r="E21" s="258"/>
      <c r="F21" s="258"/>
      <c r="H21" s="57" t="s">
        <v>278</v>
      </c>
      <c r="I21" s="218">
        <v>0.186</v>
      </c>
      <c r="J21" s="218">
        <v>0.17</v>
      </c>
      <c r="K21" s="218">
        <v>0.16200000000000001</v>
      </c>
      <c r="L21" s="218">
        <v>0.158</v>
      </c>
    </row>
    <row r="22" spans="2:12">
      <c r="B22" s="241"/>
      <c r="C22" s="239">
        <v>2020</v>
      </c>
      <c r="D22" s="239">
        <v>2019</v>
      </c>
      <c r="E22" s="239">
        <v>2018</v>
      </c>
      <c r="F22" s="239">
        <v>2017</v>
      </c>
      <c r="H22" s="57" t="s">
        <v>287</v>
      </c>
      <c r="I22" s="219">
        <v>0.1867</v>
      </c>
      <c r="J22" s="219">
        <v>0.19089999999999999</v>
      </c>
      <c r="K22" s="219">
        <v>0.16719999999999999</v>
      </c>
      <c r="L22" s="219">
        <v>0.159</v>
      </c>
    </row>
    <row r="23" spans="2:12">
      <c r="B23" s="241" t="s">
        <v>285</v>
      </c>
      <c r="C23" s="243">
        <v>0.19120000000000001</v>
      </c>
      <c r="D23" s="243">
        <v>0.1694</v>
      </c>
      <c r="E23" s="243">
        <v>0.19089999999999999</v>
      </c>
      <c r="F23" s="243">
        <v>0.19270000000000001</v>
      </c>
      <c r="H23" s="57" t="s">
        <v>274</v>
      </c>
      <c r="I23" s="87">
        <v>0.15479999999999999</v>
      </c>
      <c r="J23" s="87">
        <v>0.1338</v>
      </c>
      <c r="K23" s="87">
        <v>0.12509999999999999</v>
      </c>
      <c r="L23" s="87">
        <v>0.12089999999999999</v>
      </c>
    </row>
    <row r="24" spans="2:12">
      <c r="B24" s="241" t="s">
        <v>286</v>
      </c>
      <c r="C24" s="242">
        <v>2.0928088235035013E-2</v>
      </c>
      <c r="D24" s="242">
        <v>6.2490326976696884E-3</v>
      </c>
      <c r="E24" s="242">
        <v>3.3092989879509693E-3</v>
      </c>
      <c r="F24" s="242">
        <v>4.5999872473845805E-3</v>
      </c>
      <c r="H24" s="57" t="s">
        <v>293</v>
      </c>
      <c r="I24" s="243">
        <v>0.19120000000000001</v>
      </c>
      <c r="J24" s="243">
        <v>0.1694</v>
      </c>
      <c r="K24" s="243">
        <v>0.19089999999999999</v>
      </c>
      <c r="L24" s="243">
        <v>0.19270000000000001</v>
      </c>
    </row>
    <row r="25" spans="2:12">
      <c r="B25" s="241" t="s">
        <v>281</v>
      </c>
      <c r="C25" s="242">
        <v>1.8192125887744371E-2</v>
      </c>
      <c r="D25" s="242">
        <v>2.5835817678350012E-2</v>
      </c>
      <c r="E25" s="242">
        <v>1.9510022799974897E-2</v>
      </c>
      <c r="F25" s="242">
        <v>1.6055271045212583E-2</v>
      </c>
    </row>
    <row r="26" spans="2:12">
      <c r="B26" s="241" t="s">
        <v>276</v>
      </c>
      <c r="C26" s="242">
        <v>0.16079008484679008</v>
      </c>
      <c r="D26" s="242">
        <v>0.21966833763270299</v>
      </c>
      <c r="E26" s="242">
        <v>0.16715693981214802</v>
      </c>
      <c r="F26" s="242">
        <v>0.1310072266901332</v>
      </c>
      <c r="H26" s="238"/>
      <c r="I26" s="238"/>
      <c r="J26" s="238"/>
      <c r="K26" s="238"/>
    </row>
    <row r="54" spans="8:10">
      <c r="H54" s="57" t="s">
        <v>294</v>
      </c>
      <c r="I54" s="57">
        <v>2020</v>
      </c>
      <c r="J54" s="57" t="s">
        <v>301</v>
      </c>
    </row>
    <row r="55" spans="8:10">
      <c r="H55" s="264" t="s">
        <v>295</v>
      </c>
      <c r="I55">
        <v>391</v>
      </c>
      <c r="J55" s="265">
        <v>0.02</v>
      </c>
    </row>
    <row r="56" spans="8:10">
      <c r="H56" s="264" t="s">
        <v>296</v>
      </c>
      <c r="I56">
        <v>395</v>
      </c>
      <c r="J56" s="265">
        <v>0.06</v>
      </c>
    </row>
    <row r="57" spans="8:10">
      <c r="H57" s="264" t="s">
        <v>297</v>
      </c>
      <c r="I57">
        <v>312</v>
      </c>
      <c r="J57" s="265">
        <v>0.18</v>
      </c>
    </row>
    <row r="58" spans="8:10">
      <c r="H58" s="264" t="s">
        <v>298</v>
      </c>
      <c r="I58">
        <v>178</v>
      </c>
      <c r="J58" s="265">
        <v>-0.18</v>
      </c>
    </row>
    <row r="59" spans="8:10">
      <c r="H59" s="264" t="s">
        <v>299</v>
      </c>
      <c r="I59">
        <v>318</v>
      </c>
      <c r="J59" s="265">
        <v>0.03</v>
      </c>
    </row>
    <row r="60" spans="8:10">
      <c r="H60" s="264" t="s">
        <v>300</v>
      </c>
      <c r="I60">
        <v>250</v>
      </c>
      <c r="J60" s="265">
        <v>0.03</v>
      </c>
    </row>
    <row r="63" spans="8:10">
      <c r="H63" s="57" t="s">
        <v>178</v>
      </c>
      <c r="I63" s="57">
        <v>2020</v>
      </c>
      <c r="J63" s="57" t="s">
        <v>301</v>
      </c>
    </row>
    <row r="64" spans="8:10">
      <c r="H64" s="264" t="s">
        <v>295</v>
      </c>
      <c r="I64">
        <v>835</v>
      </c>
      <c r="J64" s="265">
        <v>0.21</v>
      </c>
    </row>
    <row r="65" spans="8:10">
      <c r="H65" s="264" t="s">
        <v>296</v>
      </c>
      <c r="I65">
        <v>791</v>
      </c>
      <c r="J65" s="265">
        <v>0.16</v>
      </c>
    </row>
    <row r="66" spans="8:10">
      <c r="H66" s="264" t="s">
        <v>297</v>
      </c>
      <c r="I66">
        <v>681</v>
      </c>
      <c r="J66" s="265">
        <v>0.11</v>
      </c>
    </row>
    <row r="67" spans="8:10">
      <c r="H67" s="264" t="s">
        <v>298</v>
      </c>
      <c r="I67">
        <v>557</v>
      </c>
      <c r="J67" s="265">
        <v>0.2</v>
      </c>
    </row>
    <row r="68" spans="8:10">
      <c r="H68" s="264" t="s">
        <v>299</v>
      </c>
      <c r="I68">
        <v>541</v>
      </c>
      <c r="J68" s="265">
        <v>0.18</v>
      </c>
    </row>
    <row r="69" spans="8:10">
      <c r="H69" s="264" t="s">
        <v>300</v>
      </c>
      <c r="I69">
        <v>433</v>
      </c>
      <c r="J69" s="265">
        <v>0.17</v>
      </c>
    </row>
  </sheetData>
  <mergeCells count="9">
    <mergeCell ref="B21:F21"/>
    <mergeCell ref="H20:L20"/>
    <mergeCell ref="B2:F2"/>
    <mergeCell ref="B9:F9"/>
    <mergeCell ref="B15:F15"/>
    <mergeCell ref="H2:M2"/>
    <mergeCell ref="H5:L5"/>
    <mergeCell ref="H10:L10"/>
    <mergeCell ref="H15:L15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BFE7-7455-48EA-8F11-9EC064985520}">
  <dimension ref="A1:M31"/>
  <sheetViews>
    <sheetView topLeftCell="A61" workbookViewId="0">
      <selection activeCell="N57" sqref="N57"/>
    </sheetView>
  </sheetViews>
  <sheetFormatPr defaultRowHeight="14.4"/>
  <cols>
    <col min="1" max="1" width="22.44140625" bestFit="1" customWidth="1"/>
    <col min="8" max="8" width="24.6640625" bestFit="1" customWidth="1"/>
    <col min="9" max="12" width="11.5546875" bestFit="1" customWidth="1"/>
    <col min="13" max="13" width="12.5546875" bestFit="1" customWidth="1"/>
  </cols>
  <sheetData>
    <row r="1" spans="1:13">
      <c r="A1" s="262" t="s">
        <v>275</v>
      </c>
      <c r="B1" s="262"/>
      <c r="C1" s="262"/>
      <c r="D1" s="262"/>
      <c r="E1" s="262"/>
      <c r="F1" s="262"/>
      <c r="H1" s="231"/>
      <c r="I1" s="231"/>
      <c r="J1" s="231"/>
      <c r="K1" s="231"/>
      <c r="L1" s="231"/>
      <c r="M1" s="231"/>
    </row>
    <row r="2" spans="1:13">
      <c r="A2" s="136"/>
      <c r="B2" s="229">
        <v>2021</v>
      </c>
      <c r="C2" s="229">
        <v>2020</v>
      </c>
      <c r="D2" s="229">
        <v>2019</v>
      </c>
      <c r="E2" s="229">
        <v>2018</v>
      </c>
      <c r="F2" s="229">
        <v>2017</v>
      </c>
      <c r="M2" s="221"/>
    </row>
    <row r="3" spans="1:13" s="208" customFormat="1">
      <c r="A3" s="57" t="s">
        <v>293</v>
      </c>
      <c r="B3" s="247">
        <v>7.5120055561406652E-3</v>
      </c>
      <c r="C3" s="247">
        <v>2.0928088235035013E-2</v>
      </c>
      <c r="D3" s="247">
        <v>6.2490326976696884E-3</v>
      </c>
      <c r="E3" s="247">
        <v>3.3092989879509693E-3</v>
      </c>
      <c r="F3" s="227">
        <v>4.5999872473845805E-3</v>
      </c>
      <c r="H3" s="232"/>
    </row>
    <row r="4" spans="1:13">
      <c r="A4" s="229" t="s">
        <v>274</v>
      </c>
      <c r="B4" s="228">
        <v>6.5244059355732256E-2</v>
      </c>
      <c r="C4" s="228">
        <v>7.2673829594501416E-2</v>
      </c>
      <c r="D4" s="228">
        <v>7.5438513527685089E-2</v>
      </c>
      <c r="E4" s="228">
        <v>7.7693181949369305E-2</v>
      </c>
      <c r="F4" s="228">
        <v>0.10341608820577447</v>
      </c>
      <c r="H4" s="221"/>
      <c r="I4" s="222"/>
      <c r="J4" s="222"/>
      <c r="K4" s="222"/>
      <c r="L4" s="222"/>
      <c r="M4" s="222"/>
    </row>
    <row r="5" spans="1:13">
      <c r="A5" s="229" t="s">
        <v>287</v>
      </c>
      <c r="B5" s="220">
        <v>0.11414060578020781</v>
      </c>
      <c r="C5" s="220">
        <v>8.673473681839268E-2</v>
      </c>
      <c r="D5" s="220">
        <v>9.2957579679380439E-2</v>
      </c>
      <c r="E5" s="220">
        <v>7.0421052836031325E-2</v>
      </c>
      <c r="F5" s="220">
        <v>4.8036375959403736E-2</v>
      </c>
      <c r="H5" s="221"/>
      <c r="I5" s="223"/>
      <c r="J5" s="211"/>
      <c r="K5" s="212"/>
      <c r="L5" s="223"/>
      <c r="M5" s="223"/>
    </row>
    <row r="6" spans="1:13">
      <c r="A6" s="262" t="s">
        <v>234</v>
      </c>
      <c r="B6" s="262"/>
      <c r="C6" s="262"/>
      <c r="D6" s="262"/>
      <c r="E6" s="262"/>
      <c r="F6" s="262"/>
      <c r="H6" s="89"/>
      <c r="I6" s="89"/>
      <c r="J6" s="89"/>
      <c r="K6" s="89"/>
      <c r="L6" s="89"/>
      <c r="M6" s="89"/>
    </row>
    <row r="7" spans="1:13">
      <c r="A7" s="136"/>
      <c r="B7" s="229">
        <v>2021</v>
      </c>
      <c r="C7" s="229">
        <v>2020</v>
      </c>
      <c r="D7" s="229">
        <v>2019</v>
      </c>
      <c r="E7" s="229">
        <v>2018</v>
      </c>
      <c r="F7" s="229">
        <v>2017</v>
      </c>
      <c r="H7" s="263"/>
      <c r="I7" s="263"/>
      <c r="J7" s="263"/>
      <c r="K7" s="263"/>
      <c r="L7" s="263"/>
      <c r="M7" s="263"/>
    </row>
    <row r="8" spans="1:13" s="208" customFormat="1">
      <c r="A8" s="57" t="s">
        <v>293</v>
      </c>
      <c r="B8" s="247">
        <v>0.23677370457559213</v>
      </c>
      <c r="C8" s="247">
        <v>0.2019769685960679</v>
      </c>
      <c r="D8" s="247">
        <v>0.25372192726087062</v>
      </c>
      <c r="E8" s="247">
        <v>0.27483691510567199</v>
      </c>
      <c r="F8" s="247">
        <v>0.23043639071652208</v>
      </c>
      <c r="H8" s="230"/>
      <c r="I8" s="230"/>
      <c r="J8" s="230"/>
      <c r="K8" s="230"/>
      <c r="L8" s="230"/>
      <c r="M8" s="230"/>
    </row>
    <row r="9" spans="1:13">
      <c r="A9" s="229" t="s">
        <v>274</v>
      </c>
      <c r="B9" s="228">
        <v>0.11152505742246227</v>
      </c>
      <c r="C9" s="228">
        <v>0.12204157845431043</v>
      </c>
      <c r="D9" s="228">
        <v>8.8712461777605639E-2</v>
      </c>
      <c r="E9" s="228">
        <v>8.9899478765862073E-2</v>
      </c>
      <c r="F9" s="228">
        <v>0.12084200852203097</v>
      </c>
      <c r="H9" s="89"/>
    </row>
    <row r="10" spans="1:13">
      <c r="A10" s="229" t="s">
        <v>287</v>
      </c>
      <c r="B10" s="220">
        <v>0.13122324492071488</v>
      </c>
      <c r="C10" s="220">
        <v>0.11748171663192908</v>
      </c>
      <c r="D10" s="220">
        <v>9.1316708746236083E-2</v>
      </c>
      <c r="E10" s="220">
        <v>0.10393364410130584</v>
      </c>
      <c r="F10" s="220">
        <v>0.13303600953893932</v>
      </c>
      <c r="H10" s="221"/>
    </row>
    <row r="11" spans="1:13">
      <c r="A11" s="262" t="s">
        <v>276</v>
      </c>
      <c r="B11" s="262"/>
      <c r="C11" s="262"/>
      <c r="D11" s="262"/>
      <c r="E11" s="262"/>
      <c r="F11" s="262"/>
      <c r="H11" s="221"/>
      <c r="I11" s="245"/>
      <c r="J11" s="245"/>
      <c r="K11" s="245"/>
      <c r="L11" s="245"/>
      <c r="M11" s="245"/>
    </row>
    <row r="12" spans="1:13">
      <c r="A12" s="136"/>
      <c r="B12" s="229">
        <v>2021</v>
      </c>
      <c r="C12" s="229">
        <v>2020</v>
      </c>
      <c r="D12" s="229">
        <v>2019</v>
      </c>
      <c r="E12" s="229">
        <v>2018</v>
      </c>
      <c r="F12" s="229">
        <v>2017</v>
      </c>
      <c r="H12" s="89"/>
      <c r="I12" s="244"/>
      <c r="J12" s="244"/>
      <c r="K12" s="244"/>
      <c r="L12" s="244"/>
      <c r="M12" s="244"/>
    </row>
    <row r="13" spans="1:13" s="208" customFormat="1">
      <c r="A13" s="57" t="s">
        <v>293</v>
      </c>
      <c r="B13" s="225">
        <v>0.17244680426629114</v>
      </c>
      <c r="C13" s="225">
        <v>0.16079008484679008</v>
      </c>
      <c r="D13" s="225">
        <v>0.21966833763270299</v>
      </c>
      <c r="E13" s="225">
        <v>0.16715693981214802</v>
      </c>
      <c r="F13" s="225">
        <v>0.1310072266901332</v>
      </c>
      <c r="H13" s="89"/>
    </row>
    <row r="14" spans="1:13">
      <c r="A14" s="229" t="s">
        <v>274</v>
      </c>
      <c r="B14" s="228">
        <v>0.17336872560295868</v>
      </c>
      <c r="C14" s="228">
        <v>0.19855054586784968</v>
      </c>
      <c r="D14" s="228">
        <v>0.16550801169835999</v>
      </c>
      <c r="E14" s="228">
        <v>0.13188185686457357</v>
      </c>
      <c r="F14" s="228">
        <v>0.15737129698491045</v>
      </c>
      <c r="H14" s="261"/>
      <c r="I14" s="261"/>
      <c r="J14" s="261"/>
      <c r="K14" s="261"/>
      <c r="L14" s="261"/>
      <c r="M14" s="261"/>
    </row>
    <row r="15" spans="1:13">
      <c r="A15" s="229" t="s">
        <v>287</v>
      </c>
      <c r="B15" s="220">
        <v>0.11507836048053903</v>
      </c>
      <c r="C15" s="220">
        <v>0.11223860180984883</v>
      </c>
      <c r="D15" s="220">
        <v>0.10875818778360442</v>
      </c>
      <c r="E15" s="220">
        <v>0.11094043887511737</v>
      </c>
      <c r="F15" s="220">
        <v>0.12631232836741466</v>
      </c>
      <c r="H15" s="89"/>
      <c r="I15" s="221"/>
      <c r="J15" s="221"/>
      <c r="K15" s="221"/>
      <c r="L15" s="221"/>
      <c r="M15" s="221"/>
    </row>
    <row r="16" spans="1:13">
      <c r="A16" s="262" t="s">
        <v>277</v>
      </c>
      <c r="B16" s="262"/>
      <c r="C16" s="262"/>
      <c r="D16" s="262"/>
      <c r="E16" s="262"/>
      <c r="F16" s="262"/>
      <c r="H16" s="221"/>
      <c r="I16" s="224"/>
      <c r="J16" s="224"/>
      <c r="K16" s="224"/>
      <c r="L16" s="224"/>
      <c r="M16" s="224"/>
    </row>
    <row r="17" spans="1:13">
      <c r="A17" s="136"/>
      <c r="B17" s="229">
        <v>2021</v>
      </c>
      <c r="C17" s="229">
        <v>2020</v>
      </c>
      <c r="D17" s="229">
        <v>2019</v>
      </c>
      <c r="E17" s="229">
        <v>2018</v>
      </c>
      <c r="F17" s="229">
        <v>2017</v>
      </c>
      <c r="H17" s="221"/>
      <c r="I17" s="226"/>
      <c r="J17" s="226"/>
      <c r="K17" s="226"/>
      <c r="L17" s="226"/>
      <c r="M17" s="226"/>
    </row>
    <row r="18" spans="1:13" s="208" customFormat="1">
      <c r="A18" s="57" t="s">
        <v>293</v>
      </c>
      <c r="B18" s="241">
        <v>0.35</v>
      </c>
      <c r="C18" s="241">
        <v>0.34</v>
      </c>
      <c r="D18" s="241">
        <v>0.41</v>
      </c>
      <c r="E18" s="241">
        <v>0.28999999999999998</v>
      </c>
      <c r="F18" s="241">
        <v>0.21</v>
      </c>
      <c r="H18" s="221"/>
      <c r="I18" s="226"/>
      <c r="J18" s="226"/>
      <c r="K18" s="226"/>
      <c r="L18" s="226"/>
      <c r="M18" s="226"/>
    </row>
    <row r="19" spans="1:13">
      <c r="A19" s="229" t="s">
        <v>274</v>
      </c>
      <c r="B19" s="136">
        <v>7.71</v>
      </c>
      <c r="C19" s="136">
        <v>8.61</v>
      </c>
      <c r="D19" s="136">
        <v>5.58</v>
      </c>
      <c r="E19" s="136">
        <v>3.51</v>
      </c>
      <c r="F19" s="136">
        <v>4.0599999999999996</v>
      </c>
      <c r="H19" s="89"/>
      <c r="I19" s="89"/>
      <c r="J19" s="89"/>
      <c r="K19" s="89"/>
      <c r="L19" s="89"/>
      <c r="M19" s="89"/>
    </row>
    <row r="20" spans="1:13">
      <c r="A20" s="229" t="s">
        <v>287</v>
      </c>
      <c r="B20" s="136">
        <v>2.97</v>
      </c>
      <c r="C20" s="136">
        <v>3.22</v>
      </c>
      <c r="D20" s="136">
        <v>3.96</v>
      </c>
      <c r="E20" s="136">
        <v>4.4000000000000004</v>
      </c>
      <c r="F20" s="136">
        <v>5.5</v>
      </c>
      <c r="H20" s="261"/>
      <c r="I20" s="261"/>
      <c r="J20" s="261"/>
      <c r="K20" s="261"/>
      <c r="L20" s="261"/>
      <c r="M20" s="261"/>
    </row>
    <row r="21" spans="1:13">
      <c r="H21" s="89"/>
      <c r="I21" s="221"/>
      <c r="J21" s="221"/>
      <c r="K21" s="221"/>
      <c r="L21" s="221"/>
      <c r="M21" s="221"/>
    </row>
    <row r="22" spans="1:13">
      <c r="A22" s="262" t="s">
        <v>288</v>
      </c>
      <c r="B22" s="262"/>
      <c r="C22" s="262"/>
      <c r="D22" s="262"/>
      <c r="E22" s="262"/>
      <c r="F22" s="262"/>
      <c r="H22" s="246"/>
      <c r="I22" s="227"/>
      <c r="J22" s="227"/>
      <c r="K22" s="227"/>
      <c r="L22" s="227"/>
      <c r="M22" s="227"/>
    </row>
    <row r="23" spans="1:13">
      <c r="A23" s="136"/>
      <c r="B23" s="229">
        <v>2021</v>
      </c>
      <c r="C23" s="229">
        <v>2020</v>
      </c>
      <c r="D23" s="229">
        <v>2019</v>
      </c>
      <c r="E23" s="229">
        <v>2018</v>
      </c>
      <c r="F23" s="229">
        <v>2017</v>
      </c>
      <c r="H23" s="221"/>
      <c r="I23" s="225"/>
      <c r="J23" s="225"/>
      <c r="K23" s="225"/>
      <c r="L23" s="225"/>
      <c r="M23" s="225"/>
    </row>
    <row r="24" spans="1:13">
      <c r="A24" s="229" t="s">
        <v>274</v>
      </c>
      <c r="B24" s="234">
        <v>0.50068618293802936</v>
      </c>
      <c r="C24" s="234">
        <v>0.50395109080824985</v>
      </c>
      <c r="D24" s="234">
        <v>0.61728914999889983</v>
      </c>
      <c r="E24" s="234">
        <v>0.67022181122454771</v>
      </c>
      <c r="F24" s="234">
        <v>0.67000810259667654</v>
      </c>
    </row>
    <row r="25" spans="1:13">
      <c r="A25" s="229" t="s">
        <v>287</v>
      </c>
      <c r="B25" s="235">
        <v>0.33119296004324894</v>
      </c>
      <c r="C25" s="235">
        <v>0.30445339781017855</v>
      </c>
      <c r="D25" s="235">
        <v>0.26176581673606958</v>
      </c>
      <c r="E25" s="235">
        <v>0.34888937698235373</v>
      </c>
      <c r="F25" s="235">
        <v>0.36645262748564666</v>
      </c>
    </row>
    <row r="26" spans="1:13">
      <c r="A26" s="57" t="s">
        <v>293</v>
      </c>
      <c r="B26" s="227">
        <v>0.30859724566776964</v>
      </c>
      <c r="C26" s="227">
        <v>0.29015305716053397</v>
      </c>
      <c r="D26" s="227">
        <v>0.28479305175014585</v>
      </c>
      <c r="E26" s="227">
        <v>0.38174752450024774</v>
      </c>
      <c r="F26" s="227">
        <v>0.44963879202284746</v>
      </c>
    </row>
    <row r="27" spans="1:13">
      <c r="A27" s="262" t="s">
        <v>289</v>
      </c>
      <c r="B27" s="262"/>
      <c r="C27" s="262"/>
      <c r="D27" s="262"/>
      <c r="E27" s="262"/>
      <c r="F27" s="262"/>
    </row>
    <row r="28" spans="1:13">
      <c r="A28" s="136"/>
      <c r="B28" s="229">
        <v>2021</v>
      </c>
      <c r="C28" s="229">
        <v>2020</v>
      </c>
      <c r="D28" s="229">
        <v>2019</v>
      </c>
      <c r="E28" s="229">
        <v>2018</v>
      </c>
      <c r="F28" s="229">
        <v>2017</v>
      </c>
    </row>
    <row r="29" spans="1:13">
      <c r="A29" s="229" t="s">
        <v>274</v>
      </c>
      <c r="B29" s="236">
        <v>22.471613436788079</v>
      </c>
      <c r="C29" s="236">
        <v>18.157708667180859</v>
      </c>
      <c r="D29" s="236">
        <v>19.655663176586923</v>
      </c>
      <c r="E29" s="236">
        <v>21.031502578201465</v>
      </c>
      <c r="F29" s="236">
        <v>20.369759309780392</v>
      </c>
    </row>
    <row r="30" spans="1:13">
      <c r="A30" s="229" t="s">
        <v>287</v>
      </c>
      <c r="B30" s="237">
        <v>13.155356627263</v>
      </c>
      <c r="C30" s="73">
        <v>11.79154366029595</v>
      </c>
      <c r="D30" s="73">
        <v>11.409397458394299</v>
      </c>
      <c r="E30" s="73">
        <v>13.78248687572113</v>
      </c>
      <c r="F30" s="73">
        <v>12.615115370823757</v>
      </c>
    </row>
    <row r="31" spans="1:13">
      <c r="A31" s="57" t="s">
        <v>293</v>
      </c>
      <c r="B31">
        <v>10.54</v>
      </c>
      <c r="C31">
        <v>8.84</v>
      </c>
      <c r="D31">
        <v>8.5</v>
      </c>
      <c r="E31">
        <v>8.57</v>
      </c>
      <c r="F31">
        <v>8.16</v>
      </c>
    </row>
  </sheetData>
  <mergeCells count="9">
    <mergeCell ref="H20:M20"/>
    <mergeCell ref="A22:F22"/>
    <mergeCell ref="A27:F27"/>
    <mergeCell ref="A1:F1"/>
    <mergeCell ref="A6:F6"/>
    <mergeCell ref="A11:F11"/>
    <mergeCell ref="A16:F16"/>
    <mergeCell ref="H7:M7"/>
    <mergeCell ref="H14:M14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3962-459F-4260-901E-994355B33051}">
  <dimension ref="A1:AO9"/>
  <sheetViews>
    <sheetView topLeftCell="A61" zoomScale="50" zoomScaleNormal="62" workbookViewId="0">
      <selection activeCell="AE47" sqref="AE47"/>
    </sheetView>
  </sheetViews>
  <sheetFormatPr defaultRowHeight="14.4"/>
  <cols>
    <col min="1" max="1" width="25.21875" bestFit="1" customWidth="1"/>
    <col min="2" max="2" width="12" hidden="1" customWidth="1"/>
    <col min="3" max="3" width="10.88671875" style="181" customWidth="1"/>
    <col min="4" max="4" width="12.33203125" hidden="1" customWidth="1"/>
    <col min="5" max="5" width="10.88671875" style="181" customWidth="1"/>
    <col min="6" max="6" width="12" hidden="1" customWidth="1"/>
    <col min="8" max="8" width="12" hidden="1" customWidth="1"/>
    <col min="10" max="10" width="12" hidden="1" customWidth="1"/>
    <col min="14" max="14" width="33.44140625" bestFit="1" customWidth="1"/>
    <col min="15" max="16" width="11.5546875" bestFit="1" customWidth="1"/>
    <col min="17" max="17" width="15.44140625" customWidth="1"/>
    <col min="18" max="18" width="14.44140625" customWidth="1"/>
    <col min="19" max="19" width="17.33203125" customWidth="1"/>
    <col min="22" max="22" width="40.88671875" customWidth="1"/>
    <col min="23" max="23" width="9.21875" bestFit="1" customWidth="1"/>
    <col min="24" max="24" width="8.88671875" customWidth="1"/>
    <col min="25" max="25" width="9.21875" bestFit="1" customWidth="1"/>
    <col min="26" max="26" width="12.21875" bestFit="1" customWidth="1"/>
    <col min="27" max="27" width="9.77734375" hidden="1" customWidth="1"/>
    <col min="29" max="29" width="9.21875" bestFit="1" customWidth="1"/>
    <col min="30" max="30" width="10.33203125" bestFit="1" customWidth="1"/>
    <col min="31" max="31" width="9.21875" bestFit="1" customWidth="1"/>
    <col min="37" max="41" width="11.33203125" bestFit="1" customWidth="1"/>
  </cols>
  <sheetData>
    <row r="1" spans="1:41">
      <c r="B1">
        <v>2021</v>
      </c>
      <c r="C1" s="181">
        <v>2021</v>
      </c>
      <c r="D1">
        <v>2020</v>
      </c>
      <c r="E1" s="181">
        <v>2020</v>
      </c>
      <c r="F1">
        <v>2019</v>
      </c>
      <c r="G1" s="181">
        <v>2019</v>
      </c>
      <c r="H1">
        <v>2018</v>
      </c>
      <c r="I1" s="181">
        <v>2018</v>
      </c>
      <c r="J1">
        <v>2017</v>
      </c>
      <c r="K1" s="181">
        <v>2017</v>
      </c>
      <c r="O1" s="181">
        <v>2021</v>
      </c>
      <c r="P1" s="181">
        <v>2020</v>
      </c>
      <c r="Q1" s="181">
        <v>2019</v>
      </c>
      <c r="R1" s="181">
        <v>2018</v>
      </c>
      <c r="S1" s="181">
        <v>2017</v>
      </c>
      <c r="T1" s="181"/>
      <c r="U1" s="181"/>
      <c r="V1" s="181" t="s">
        <v>204</v>
      </c>
      <c r="W1" s="181">
        <v>2021</v>
      </c>
      <c r="X1">
        <v>2021</v>
      </c>
      <c r="Y1">
        <v>2020</v>
      </c>
      <c r="Z1">
        <v>2020</v>
      </c>
      <c r="AA1">
        <v>2019</v>
      </c>
      <c r="AB1">
        <v>2019</v>
      </c>
      <c r="AC1">
        <v>2018</v>
      </c>
      <c r="AD1">
        <v>2018</v>
      </c>
      <c r="AE1">
        <v>2017</v>
      </c>
      <c r="AF1">
        <v>2017</v>
      </c>
      <c r="AI1" s="260" t="s">
        <v>282</v>
      </c>
      <c r="AJ1" s="260"/>
      <c r="AK1" s="260"/>
      <c r="AL1" s="260"/>
      <c r="AM1" s="260"/>
      <c r="AN1" s="260"/>
      <c r="AO1" s="260"/>
    </row>
    <row r="2" spans="1:41">
      <c r="A2" t="s">
        <v>256</v>
      </c>
      <c r="B2">
        <v>64650892</v>
      </c>
      <c r="C2" s="87">
        <f>(B2/$B$9)</f>
        <v>0.12731153474462159</v>
      </c>
      <c r="D2" s="126">
        <v>51348259</v>
      </c>
      <c r="E2" s="87">
        <f>(D2/$D$9)</f>
        <v>0.1217302934671952</v>
      </c>
      <c r="F2" s="126">
        <v>49156516</v>
      </c>
      <c r="G2" s="87">
        <f>(F2/$F$9)</f>
        <v>0.16173633111702881</v>
      </c>
      <c r="H2" s="126">
        <v>48018815</v>
      </c>
      <c r="I2" s="87">
        <f>(H2/$H$9)</f>
        <v>0.1826892998043704</v>
      </c>
      <c r="J2" s="126">
        <v>41707804</v>
      </c>
      <c r="K2" s="87">
        <f>(J2/$J$9)</f>
        <v>0.14668302878736547</v>
      </c>
      <c r="L2" s="181"/>
      <c r="N2" t="s">
        <v>264</v>
      </c>
      <c r="O2" s="126">
        <v>156455831</v>
      </c>
      <c r="P2" s="126">
        <v>129318506</v>
      </c>
      <c r="Q2" s="126">
        <v>135487857</v>
      </c>
      <c r="R2" s="126">
        <v>116597785</v>
      </c>
      <c r="S2" s="126">
        <v>86590715</v>
      </c>
      <c r="V2" t="s">
        <v>256</v>
      </c>
      <c r="W2">
        <v>9573196</v>
      </c>
      <c r="X2" s="87">
        <f>W2/W9</f>
        <v>0.33695610931191333</v>
      </c>
      <c r="Y2">
        <v>10377789</v>
      </c>
      <c r="Z2" s="87">
        <v>0.36527606921449968</v>
      </c>
      <c r="AA2">
        <v>11277670</v>
      </c>
      <c r="AB2" s="87">
        <v>0.40085593314531154</v>
      </c>
      <c r="AC2">
        <v>12335315</v>
      </c>
      <c r="AD2" s="87">
        <v>0.46274056361599314</v>
      </c>
      <c r="AE2">
        <v>12000289</v>
      </c>
      <c r="AF2" s="87">
        <v>0.44855817623927191</v>
      </c>
      <c r="AK2">
        <v>2021</v>
      </c>
      <c r="AL2">
        <v>2020</v>
      </c>
      <c r="AM2">
        <v>2019</v>
      </c>
      <c r="AN2">
        <v>2018</v>
      </c>
      <c r="AO2">
        <v>2017</v>
      </c>
    </row>
    <row r="3" spans="1:41">
      <c r="A3" t="s">
        <v>257</v>
      </c>
      <c r="B3" s="126">
        <v>15521810</v>
      </c>
      <c r="C3" s="87">
        <f t="shared" ref="C3:C8" si="0">(B3/$B$9)</f>
        <v>3.0565787910774918E-2</v>
      </c>
      <c r="D3" s="126">
        <v>12361663</v>
      </c>
      <c r="E3" s="87">
        <f t="shared" ref="E3:E8" si="1">(D3/$D$9)</f>
        <v>2.930554791999021E-2</v>
      </c>
      <c r="F3" s="126">
        <v>13722368</v>
      </c>
      <c r="G3" s="87">
        <f t="shared" ref="G3:G8" si="2">(F3/$F$9)</f>
        <v>4.5149771284802215E-2</v>
      </c>
      <c r="H3" s="126">
        <v>20292417</v>
      </c>
      <c r="I3" s="87">
        <f t="shared" ref="I3:I8" si="3">(H3/$H$9)</f>
        <v>7.7203226549182907E-2</v>
      </c>
      <c r="J3" s="126">
        <v>9251785</v>
      </c>
      <c r="K3" s="87">
        <f t="shared" ref="K3:K8" si="4">(J3/$J$9)</f>
        <v>3.2537791859996182E-2</v>
      </c>
      <c r="L3" s="181"/>
      <c r="N3" t="s">
        <v>265</v>
      </c>
      <c r="O3" s="126">
        <v>351360622</v>
      </c>
      <c r="P3" s="126">
        <v>292501384</v>
      </c>
      <c r="Q3" s="126">
        <v>263060954</v>
      </c>
      <c r="R3" s="126">
        <v>252661186</v>
      </c>
      <c r="S3" s="126">
        <v>197748955</v>
      </c>
      <c r="V3" t="s">
        <v>268</v>
      </c>
      <c r="W3">
        <v>1104739</v>
      </c>
      <c r="X3" s="87">
        <f>W3/W9</f>
        <v>3.8884459823567155E-2</v>
      </c>
      <c r="Y3">
        <v>1114668</v>
      </c>
      <c r="Z3" s="87">
        <v>3.9233939475854435E-2</v>
      </c>
      <c r="AA3">
        <v>1119429</v>
      </c>
      <c r="AB3" s="87">
        <v>3.9789225645450073E-2</v>
      </c>
      <c r="AC3">
        <v>1119429</v>
      </c>
      <c r="AD3" s="87">
        <v>4.1993674777505687E-2</v>
      </c>
      <c r="AE3">
        <v>1116900</v>
      </c>
      <c r="AF3" s="87">
        <v>4.1748546809301242E-2</v>
      </c>
      <c r="AJ3" s="208" t="s">
        <v>283</v>
      </c>
      <c r="AK3" s="126">
        <v>156455831</v>
      </c>
      <c r="AL3" s="126">
        <v>129318506</v>
      </c>
      <c r="AM3" s="126">
        <v>135487857</v>
      </c>
      <c r="AN3" s="126">
        <v>116597785</v>
      </c>
      <c r="AO3" s="126">
        <v>86590715</v>
      </c>
    </row>
    <row r="4" spans="1:41">
      <c r="A4" t="s">
        <v>258</v>
      </c>
      <c r="B4" s="126">
        <v>14988981</v>
      </c>
      <c r="C4" s="87">
        <f t="shared" si="0"/>
        <v>2.9516532817025525E-2</v>
      </c>
      <c r="D4" s="126">
        <v>12804088</v>
      </c>
      <c r="E4" s="87">
        <f t="shared" si="1"/>
        <v>3.0354396043297059E-2</v>
      </c>
      <c r="F4" s="126">
        <v>11623458</v>
      </c>
      <c r="G4" s="87">
        <f t="shared" si="2"/>
        <v>3.8243870900307043E-2</v>
      </c>
      <c r="H4" s="126">
        <v>9166459</v>
      </c>
      <c r="I4" s="87">
        <f t="shared" si="3"/>
        <v>3.4874121245921402E-2</v>
      </c>
      <c r="J4" s="126">
        <v>7181562</v>
      </c>
      <c r="K4" s="87">
        <f t="shared" si="4"/>
        <v>2.5256982256468118E-2</v>
      </c>
      <c r="L4" s="181"/>
      <c r="V4" t="s">
        <v>269</v>
      </c>
      <c r="W4">
        <v>5478395</v>
      </c>
      <c r="X4" s="87">
        <v>0.19282783560201205</v>
      </c>
      <c r="Y4">
        <v>3295100</v>
      </c>
      <c r="Z4" s="87">
        <v>0.11598050178787581</v>
      </c>
      <c r="AA4">
        <v>3570878</v>
      </c>
      <c r="AB4" s="87">
        <v>0.12692405725988293</v>
      </c>
      <c r="AC4">
        <v>1671611</v>
      </c>
      <c r="AD4" s="87">
        <v>6.2707941895824626E-2</v>
      </c>
      <c r="AE4">
        <v>1675648</v>
      </c>
      <c r="AF4" s="87">
        <v>6.2633959140399334E-2</v>
      </c>
      <c r="AJ4" s="208" t="s">
        <v>284</v>
      </c>
      <c r="AK4" s="126">
        <v>351360622</v>
      </c>
      <c r="AL4" s="126">
        <v>292501384</v>
      </c>
      <c r="AM4" s="126">
        <v>263060954</v>
      </c>
      <c r="AN4" s="126">
        <v>252661186</v>
      </c>
      <c r="AO4" s="126">
        <v>252661186</v>
      </c>
    </row>
    <row r="5" spans="1:41">
      <c r="A5" t="s">
        <v>259</v>
      </c>
      <c r="B5" s="126">
        <v>54707437</v>
      </c>
      <c r="C5" s="87">
        <f t="shared" si="0"/>
        <v>0.1077307296303769</v>
      </c>
      <c r="D5" s="126">
        <v>31213168</v>
      </c>
      <c r="E5" s="87">
        <f t="shared" si="1"/>
        <v>7.3996434829092572E-2</v>
      </c>
      <c r="F5" s="126">
        <v>5660916</v>
      </c>
      <c r="G5" s="87">
        <f t="shared" si="2"/>
        <v>1.8625725724778507E-2</v>
      </c>
      <c r="H5" s="126">
        <v>4474849</v>
      </c>
      <c r="I5" s="87">
        <f t="shared" si="3"/>
        <v>1.7024723132802986E-2</v>
      </c>
      <c r="J5" s="126">
        <v>2677099</v>
      </c>
      <c r="K5" s="87">
        <f t="shared" si="4"/>
        <v>9.4151442181810222E-3</v>
      </c>
      <c r="L5" s="181"/>
      <c r="N5" t="s">
        <v>266</v>
      </c>
      <c r="O5">
        <v>0</v>
      </c>
      <c r="P5">
        <v>0</v>
      </c>
      <c r="Q5">
        <v>0</v>
      </c>
      <c r="R5">
        <v>0</v>
      </c>
      <c r="S5">
        <v>0</v>
      </c>
      <c r="V5" t="s">
        <v>270</v>
      </c>
      <c r="W5">
        <v>2569558</v>
      </c>
      <c r="X5" s="87">
        <v>9.0442968715077107E-2</v>
      </c>
      <c r="Y5">
        <v>2662811</v>
      </c>
      <c r="Z5" s="87">
        <v>9.3725275696117077E-2</v>
      </c>
      <c r="AA5">
        <v>2166505</v>
      </c>
      <c r="AB5" s="87">
        <v>7.7006720664728009E-2</v>
      </c>
      <c r="AC5">
        <v>2111521</v>
      </c>
      <c r="AD5" s="87">
        <v>7.9210495850896831E-2</v>
      </c>
      <c r="AE5">
        <v>2004025</v>
      </c>
      <c r="AF5" s="87">
        <v>7.4908345885495498E-2</v>
      </c>
    </row>
    <row r="6" spans="1:41">
      <c r="A6" t="s">
        <v>260</v>
      </c>
      <c r="B6" s="126">
        <v>60184351</v>
      </c>
      <c r="C6" s="87">
        <f t="shared" si="0"/>
        <v>0.11851595324344483</v>
      </c>
      <c r="D6" s="126">
        <v>52409615</v>
      </c>
      <c r="E6" s="87">
        <f t="shared" si="1"/>
        <v>0.12424642896758614</v>
      </c>
      <c r="F6" s="126">
        <v>8072920</v>
      </c>
      <c r="G6" s="87">
        <f t="shared" si="2"/>
        <v>2.6561777938072021E-2</v>
      </c>
      <c r="H6" s="126">
        <v>2604170</v>
      </c>
      <c r="I6" s="87">
        <f t="shared" si="3"/>
        <v>9.9076579434862616E-3</v>
      </c>
      <c r="J6" s="126">
        <v>22138997</v>
      </c>
      <c r="K6" s="87">
        <f t="shared" si="4"/>
        <v>7.7861091278610545E-2</v>
      </c>
      <c r="L6" s="181"/>
      <c r="N6" t="s">
        <v>267</v>
      </c>
      <c r="O6" s="126">
        <v>31165327</v>
      </c>
      <c r="P6" s="126">
        <v>28736399</v>
      </c>
      <c r="Q6" s="126">
        <v>28133973</v>
      </c>
      <c r="R6" s="126">
        <v>26657086</v>
      </c>
      <c r="S6" s="126">
        <v>26753027</v>
      </c>
      <c r="V6" t="s">
        <v>271</v>
      </c>
      <c r="W6">
        <v>1668682</v>
      </c>
      <c r="X6" s="87">
        <v>5.8734052285028128E-2</v>
      </c>
      <c r="Y6">
        <v>1681161</v>
      </c>
      <c r="Z6" s="87">
        <v>5.9173286506086942E-2</v>
      </c>
      <c r="AA6">
        <v>512951</v>
      </c>
      <c r="AB6" s="87">
        <v>1.8232440899833096E-2</v>
      </c>
      <c r="AC6">
        <v>549956</v>
      </c>
      <c r="AD6" s="87">
        <v>2.0630762117059605E-2</v>
      </c>
      <c r="AE6">
        <v>460614</v>
      </c>
      <c r="AF6" s="87">
        <v>1.7217266666684109E-2</v>
      </c>
    </row>
    <row r="7" spans="1:41">
      <c r="A7" t="s">
        <v>261</v>
      </c>
      <c r="B7" s="126">
        <v>37091770</v>
      </c>
      <c r="C7" s="87">
        <f t="shared" si="0"/>
        <v>7.3041686185776264E-2</v>
      </c>
      <c r="D7" s="126">
        <v>33989548</v>
      </c>
      <c r="E7" s="87">
        <f t="shared" si="1"/>
        <v>8.057834352002699E-2</v>
      </c>
      <c r="F7" s="126">
        <v>20244401</v>
      </c>
      <c r="G7" s="87">
        <f t="shared" si="2"/>
        <v>6.6608771528924249E-2</v>
      </c>
      <c r="H7" s="126">
        <v>9004661</v>
      </c>
      <c r="I7" s="87">
        <f t="shared" si="3"/>
        <v>3.4258554965709204E-2</v>
      </c>
      <c r="J7" s="126">
        <v>11298355</v>
      </c>
      <c r="K7" s="87">
        <f t="shared" si="4"/>
        <v>3.9735415744134472E-2</v>
      </c>
      <c r="L7" s="181"/>
      <c r="V7" t="s">
        <v>263</v>
      </c>
      <c r="W7">
        <v>2547719</v>
      </c>
      <c r="X7" s="87">
        <v>8.9674282429821603E-2</v>
      </c>
      <c r="Y7">
        <v>2311783</v>
      </c>
      <c r="Z7" s="87">
        <v>8.1369837748378165E-2</v>
      </c>
      <c r="AA7">
        <v>2076292</v>
      </c>
      <c r="AB7" s="87">
        <v>7.3800170349207342E-2</v>
      </c>
      <c r="AC7">
        <v>2164010</v>
      </c>
      <c r="AD7" s="87">
        <v>8.1179540779513559E-2</v>
      </c>
      <c r="AE7">
        <v>2382125</v>
      </c>
      <c r="AF7" s="87">
        <v>8.9041326052562209E-2</v>
      </c>
    </row>
    <row r="8" spans="1:41">
      <c r="A8" t="s">
        <v>263</v>
      </c>
      <c r="B8" s="126">
        <f>B9-(B2+B3+B4+B5+B6+B7)</f>
        <v>260671212</v>
      </c>
      <c r="C8" s="87">
        <f t="shared" si="0"/>
        <v>0.51331777546797996</v>
      </c>
      <c r="D8" s="126">
        <f>D9-(D2+D3+D4+D5+D6+D7)</f>
        <v>227693549</v>
      </c>
      <c r="E8" s="87">
        <f t="shared" si="1"/>
        <v>0.53978855525281177</v>
      </c>
      <c r="F8" s="126">
        <f>F9-(F2+F3+F4+F5+F6+F7)</f>
        <v>195449377</v>
      </c>
      <c r="G8" s="87">
        <f t="shared" si="2"/>
        <v>0.64307375150608714</v>
      </c>
      <c r="H8" s="126">
        <f>H9-(H2+H3+H4+H5+H6+H7)</f>
        <v>169282786</v>
      </c>
      <c r="I8" s="87">
        <f t="shared" si="3"/>
        <v>0.64404241635852688</v>
      </c>
      <c r="J8" s="126">
        <f>J9-(J2+J3+J4+J5+J6+J7)</f>
        <v>190084068</v>
      </c>
      <c r="K8" s="87">
        <f t="shared" si="4"/>
        <v>0.66851054585524416</v>
      </c>
      <c r="L8" s="181"/>
      <c r="V8" t="s">
        <v>272</v>
      </c>
      <c r="W8">
        <v>2199598</v>
      </c>
      <c r="Y8">
        <v>16303</v>
      </c>
    </row>
    <row r="9" spans="1:41">
      <c r="A9" t="s">
        <v>262</v>
      </c>
      <c r="B9" s="126">
        <v>507816453</v>
      </c>
      <c r="C9" s="126"/>
      <c r="D9" s="126">
        <v>421819890</v>
      </c>
      <c r="E9" s="126"/>
      <c r="F9" s="126">
        <v>303929956</v>
      </c>
      <c r="H9" s="126">
        <v>262844157</v>
      </c>
      <c r="J9" s="126">
        <v>284339670</v>
      </c>
      <c r="L9" s="181"/>
      <c r="V9" t="s">
        <v>190</v>
      </c>
      <c r="W9">
        <v>28410810</v>
      </c>
      <c r="X9">
        <v>0.7178454257375978</v>
      </c>
      <c r="Y9">
        <v>28410810</v>
      </c>
      <c r="Z9">
        <v>0.67338907268043391</v>
      </c>
      <c r="AA9">
        <v>28133973</v>
      </c>
      <c r="AB9">
        <v>0.66280837761520561</v>
      </c>
      <c r="AC9">
        <v>26657086</v>
      </c>
      <c r="AD9">
        <v>0.66728343825727987</v>
      </c>
      <c r="AE9">
        <v>26753027</v>
      </c>
      <c r="AF9">
        <v>0.64506629474115207</v>
      </c>
    </row>
  </sheetData>
  <mergeCells count="1">
    <mergeCell ref="AI1:A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Balance Sheet</vt:lpstr>
      <vt:lpstr>Income Statement</vt:lpstr>
      <vt:lpstr>Sheet1</vt:lpstr>
      <vt:lpstr>Profitability Ratios</vt:lpstr>
      <vt:lpstr>Risk Ratios</vt:lpstr>
      <vt:lpstr>CAMELS</vt:lpstr>
      <vt:lpstr>Graphs</vt:lpstr>
      <vt:lpstr>Sector Analysis</vt:lpstr>
      <vt:lpstr>Industry</vt:lpstr>
      <vt:lpstr>Comparison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Abdul Rehman</cp:lastModifiedBy>
  <dcterms:created xsi:type="dcterms:W3CDTF">2022-04-15T10:00:11Z</dcterms:created>
  <dcterms:modified xsi:type="dcterms:W3CDTF">2022-04-26T18:24:27Z</dcterms:modified>
</cp:coreProperties>
</file>