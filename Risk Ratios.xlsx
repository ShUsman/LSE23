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far Rishi\Downloads\"/>
    </mc:Choice>
  </mc:AlternateContent>
  <xr:revisionPtr revIDLastSave="0" documentId="13_ncr:1_{01B8EF07-F90E-46C1-8AE3-925406F65B48}" xr6:coauthVersionLast="47" xr6:coauthVersionMax="47" xr10:uidLastSave="{00000000-0000-0000-0000-000000000000}"/>
  <bookViews>
    <workbookView xWindow="-120" yWindow="-120" windowWidth="20730" windowHeight="11160" firstSheet="4" activeTab="4" xr2:uid="{00000000-000D-0000-FFFF-FFFF00000000}"/>
  </bookViews>
  <sheets>
    <sheet name="2021" sheetId="1" state="hidden" r:id="rId1"/>
    <sheet name="2020" sheetId="2" state="hidden" r:id="rId2"/>
    <sheet name="2019" sheetId="3" state="hidden" r:id="rId3"/>
    <sheet name="2018" sheetId="4" state="hidden" r:id="rId4"/>
    <sheet name="BS" sheetId="5" r:id="rId5"/>
    <sheet name="IS" sheetId="6" r:id="rId6"/>
    <sheet name="Profitibility Ratios" sheetId="7" r:id="rId7"/>
    <sheet name="Risk Ratios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8" l="1"/>
  <c r="N13" i="8" s="1"/>
  <c r="O13" i="8" s="1"/>
  <c r="P13" i="8" s="1"/>
  <c r="M25" i="8"/>
  <c r="N25" i="8" s="1"/>
  <c r="O25" i="8" s="1"/>
  <c r="P25" i="8" s="1"/>
  <c r="M45" i="8"/>
  <c r="N45" i="8"/>
  <c r="O45" i="8"/>
  <c r="F42" i="8" s="1"/>
  <c r="P45" i="8"/>
  <c r="G42" i="8" s="1"/>
  <c r="L45" i="8"/>
  <c r="C42" i="8" s="1"/>
  <c r="P51" i="8"/>
  <c r="O51" i="8"/>
  <c r="N51" i="8"/>
  <c r="E43" i="8" s="1"/>
  <c r="M51" i="8"/>
  <c r="D43" i="8" s="1"/>
  <c r="L51" i="8"/>
  <c r="G44" i="8"/>
  <c r="F44" i="8"/>
  <c r="E44" i="8"/>
  <c r="D44" i="8"/>
  <c r="C44" i="8"/>
  <c r="G43" i="8"/>
  <c r="F43" i="8"/>
  <c r="C43" i="8"/>
  <c r="E42" i="8"/>
  <c r="D42" i="8"/>
  <c r="G41" i="8"/>
  <c r="F41" i="8"/>
  <c r="E41" i="8"/>
  <c r="D41" i="8"/>
  <c r="C41" i="8"/>
  <c r="E35" i="8" l="1"/>
  <c r="D34" i="8"/>
  <c r="E34" i="8" s="1"/>
  <c r="F34" i="8" s="1"/>
  <c r="G34" i="8" s="1"/>
  <c r="M40" i="8"/>
  <c r="D35" i="8" s="1"/>
  <c r="N40" i="8"/>
  <c r="O40" i="8"/>
  <c r="F35" i="8" s="1"/>
  <c r="P40" i="8"/>
  <c r="G35" i="8" s="1"/>
  <c r="L40" i="8"/>
  <c r="C35" i="8" s="1"/>
  <c r="D28" i="8" l="1"/>
  <c r="E28" i="8"/>
  <c r="F28" i="8"/>
  <c r="G28" i="8"/>
  <c r="C28" i="8"/>
  <c r="D27" i="8"/>
  <c r="E27" i="8"/>
  <c r="F27" i="8"/>
  <c r="G27" i="8"/>
  <c r="C27" i="8"/>
  <c r="L34" i="8"/>
  <c r="G29" i="8" s="1"/>
  <c r="M34" i="8"/>
  <c r="F29" i="8" s="1"/>
  <c r="N34" i="8"/>
  <c r="E29" i="8" s="1"/>
  <c r="O34" i="8"/>
  <c r="D29" i="8" s="1"/>
  <c r="P34" i="8"/>
  <c r="C29" i="8" s="1"/>
  <c r="G26" i="8"/>
  <c r="F26" i="8"/>
  <c r="E26" i="8"/>
  <c r="D26" i="8"/>
  <c r="C26" i="8"/>
  <c r="P15" i="8" l="1"/>
  <c r="G16" i="8" s="1"/>
  <c r="O15" i="8"/>
  <c r="F16" i="8" s="1"/>
  <c r="N15" i="8"/>
  <c r="E16" i="8" s="1"/>
  <c r="M15" i="8"/>
  <c r="D16" i="8" s="1"/>
  <c r="L15" i="8"/>
  <c r="C16" i="8" s="1"/>
  <c r="G15" i="8"/>
  <c r="F15" i="8"/>
  <c r="E15" i="8"/>
  <c r="D15" i="8"/>
  <c r="C15" i="8"/>
  <c r="D10" i="8"/>
  <c r="E10" i="8"/>
  <c r="F10" i="8"/>
  <c r="G10" i="8"/>
  <c r="C10" i="8"/>
  <c r="D6" i="8"/>
  <c r="E6" i="8"/>
  <c r="F6" i="8"/>
  <c r="G6" i="8"/>
  <c r="C6" i="8"/>
  <c r="D5" i="8"/>
  <c r="E5" i="8"/>
  <c r="F5" i="8"/>
  <c r="G5" i="8"/>
  <c r="C5" i="8"/>
  <c r="D4" i="8"/>
  <c r="E4" i="8"/>
  <c r="F4" i="8"/>
  <c r="G4" i="8"/>
  <c r="C4" i="8"/>
  <c r="C38" i="5"/>
  <c r="D38" i="5"/>
  <c r="E38" i="5"/>
  <c r="F38" i="5"/>
  <c r="G38" i="5"/>
  <c r="D7" i="8"/>
  <c r="E7" i="8"/>
  <c r="F7" i="8"/>
  <c r="G7" i="8"/>
  <c r="C7" i="8"/>
  <c r="M3" i="8"/>
  <c r="N3" i="8" s="1"/>
  <c r="O3" i="8" s="1"/>
  <c r="P3" i="8" s="1"/>
  <c r="C25" i="7" l="1"/>
  <c r="D25" i="7"/>
  <c r="E25" i="7"/>
  <c r="F25" i="7"/>
  <c r="G25" i="7"/>
  <c r="C22" i="7"/>
  <c r="D22" i="7"/>
  <c r="E22" i="7"/>
  <c r="F22" i="7"/>
  <c r="G22" i="7"/>
  <c r="D11" i="7" l="1"/>
  <c r="E11" i="7"/>
  <c r="F11" i="7"/>
  <c r="G11" i="7"/>
  <c r="C11" i="7"/>
  <c r="D9" i="7"/>
  <c r="E9" i="7"/>
  <c r="F9" i="7"/>
  <c r="G9" i="7"/>
  <c r="C9" i="7"/>
  <c r="D23" i="7"/>
  <c r="E23" i="7"/>
  <c r="F23" i="7"/>
  <c r="G23" i="7"/>
  <c r="C23" i="7"/>
  <c r="D6" i="7"/>
  <c r="E6" i="7"/>
  <c r="F6" i="7"/>
  <c r="G6" i="7"/>
  <c r="C6" i="7"/>
  <c r="D24" i="7"/>
  <c r="E24" i="7"/>
  <c r="F24" i="7"/>
  <c r="G24" i="7"/>
  <c r="C24" i="7"/>
  <c r="D10" i="7"/>
  <c r="E10" i="7"/>
  <c r="F10" i="7"/>
  <c r="G10" i="7"/>
  <c r="C10" i="7"/>
  <c r="D8" i="7"/>
  <c r="D7" i="7" s="1"/>
  <c r="E8" i="7"/>
  <c r="E7" i="7" s="1"/>
  <c r="F8" i="7"/>
  <c r="F7" i="7" s="1"/>
  <c r="G8" i="7"/>
  <c r="G7" i="7" s="1"/>
  <c r="C8" i="7"/>
  <c r="C7" i="7" s="1"/>
  <c r="D16" i="7"/>
  <c r="E16" i="7"/>
  <c r="F16" i="7"/>
  <c r="G16" i="7"/>
  <c r="C16" i="7"/>
  <c r="D15" i="7"/>
  <c r="E15" i="7"/>
  <c r="F15" i="7"/>
  <c r="G15" i="7"/>
  <c r="C15" i="7"/>
  <c r="D14" i="7"/>
  <c r="E14" i="7"/>
  <c r="F14" i="7"/>
  <c r="G14" i="7"/>
  <c r="C14" i="7"/>
  <c r="D26" i="7"/>
  <c r="D27" i="7" s="1"/>
  <c r="E26" i="7"/>
  <c r="E27" i="7" s="1"/>
  <c r="F26" i="7"/>
  <c r="F27" i="7" s="1"/>
  <c r="G26" i="7"/>
  <c r="G27" i="7" s="1"/>
  <c r="C26" i="7"/>
  <c r="C27" i="7" s="1"/>
  <c r="E28" i="7" l="1"/>
  <c r="C28" i="7"/>
  <c r="D28" i="7"/>
  <c r="G28" i="7"/>
  <c r="F28" i="7"/>
  <c r="D4" i="5"/>
  <c r="E4" i="5" s="1"/>
  <c r="F4" i="5" s="1"/>
  <c r="G4" i="5" s="1"/>
</calcChain>
</file>

<file path=xl/sharedStrings.xml><?xml version="1.0" encoding="utf-8"?>
<sst xmlns="http://schemas.openxmlformats.org/spreadsheetml/2006/main" count="249" uniqueCount="124">
  <si>
    <t>Consolidated Statement of Financial Position</t>
  </si>
  <si>
    <t>As at December 31, 2021</t>
  </si>
  <si>
    <t>Assets</t>
  </si>
  <si>
    <t>Cash and Balances with treasury banks</t>
  </si>
  <si>
    <t>Balances with other banks</t>
  </si>
  <si>
    <t>Lending to financial institutions</t>
  </si>
  <si>
    <t>Investments</t>
  </si>
  <si>
    <t>Advances</t>
  </si>
  <si>
    <t>Fixed Assets</t>
  </si>
  <si>
    <t>Intangible Assets</t>
  </si>
  <si>
    <t>Deferred Tax Assets</t>
  </si>
  <si>
    <t>Other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</si>
  <si>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</si>
  <si>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</si>
  <si>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</si>
  <si>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</si>
  <si>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</si>
  <si>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</t>
  </si>
  <si>
    <t>Deferred Tax Liabilities</t>
  </si>
  <si>
    <t>Other Liabilities</t>
  </si>
  <si>
    <t>Net Assets</t>
  </si>
  <si>
    <t>Represented by</t>
  </si>
  <si>
    <t>Share capital</t>
  </si>
  <si>
    <t>Reserves</t>
  </si>
  <si>
    <t>Surplus on revaluation of assets - net of tax</t>
  </si>
  <si>
    <t>Unappropriated profit</t>
  </si>
  <si>
    <t>Total equity attributable to the equity holders of the bank</t>
  </si>
  <si>
    <t>Non-controlling interest</t>
  </si>
  <si>
    <t>As at December 31, 2020</t>
  </si>
  <si>
    <t>As at December 31, 2019</t>
  </si>
  <si>
    <t>As at December 31, 2018</t>
  </si>
  <si>
    <t>Total Liabilities</t>
  </si>
  <si>
    <t>Total Assets</t>
  </si>
  <si>
    <t>Consolidated Balance Sheet</t>
  </si>
  <si>
    <t>Consolidated Income Statement</t>
  </si>
  <si>
    <t>Mark-up / return / interest earned</t>
  </si>
  <si>
    <t>Mark-up / return / interest expensed</t>
  </si>
  <si>
    <t>Net mark-up / interest income</t>
  </si>
  <si>
    <t>NON MARK UP/ INTEREST INCOME</t>
  </si>
  <si>
    <t>Fee and commission income</t>
  </si>
  <si>
    <t>Dividend income</t>
  </si>
  <si>
    <t>Foreign exchange income</t>
  </si>
  <si>
    <t>Income / (loss) from derivatives</t>
  </si>
  <si>
    <t>(Loss) / Gain on securities</t>
  </si>
  <si>
    <t>Other income</t>
  </si>
  <si>
    <t>Total non mark-up / interest income</t>
  </si>
  <si>
    <t>Total income</t>
  </si>
  <si>
    <t>NON MARK-UP / INTEREST EXPENSES</t>
  </si>
  <si>
    <t>Operating expenses</t>
  </si>
  <si>
    <t>Workers welfare fund</t>
  </si>
  <si>
    <t>Other charges</t>
  </si>
  <si>
    <t>Total non mark-up / interest expenses</t>
  </si>
  <si>
    <t>Profit before provisions</t>
  </si>
  <si>
    <t>Provision and write-offs - net</t>
  </si>
  <si>
    <t>Share of profit/ (loss) of associates</t>
  </si>
  <si>
    <t>-</t>
  </si>
  <si>
    <t xml:space="preserve">extra ordinary/ unusual items </t>
  </si>
  <si>
    <t>PROFIT BEFORE TAXATION</t>
  </si>
  <si>
    <t>Taxation</t>
  </si>
  <si>
    <t>PROFIT AFTER TAXATION</t>
  </si>
  <si>
    <t>Attributable to:</t>
  </si>
  <si>
    <t>Equity holders of the parent</t>
  </si>
  <si>
    <t>Basic / diluted earnings per share</t>
  </si>
  <si>
    <t>Equity Multiplier</t>
  </si>
  <si>
    <t>Operating efficiency</t>
  </si>
  <si>
    <t>Tax management efficency</t>
  </si>
  <si>
    <t>Asset management efficiency</t>
  </si>
  <si>
    <t>Net Interest Margin</t>
  </si>
  <si>
    <t>Earning Spread</t>
  </si>
  <si>
    <t>Asset Utilization</t>
  </si>
  <si>
    <t>Gross Spread Ratio (NIM/ Gross Interest Income)</t>
  </si>
  <si>
    <t>Return on Equity (ROE)</t>
  </si>
  <si>
    <t>Return on Assets (ROA)</t>
  </si>
  <si>
    <t>Net Non-Interest Margin</t>
  </si>
  <si>
    <t>Net Bank operating Margin</t>
  </si>
  <si>
    <t>Net Profit Margin</t>
  </si>
  <si>
    <t>Profitability Ratios</t>
  </si>
  <si>
    <t>Faysal Bank</t>
  </si>
  <si>
    <t>Leverage</t>
  </si>
  <si>
    <t>Leverage / Equity Multiplier</t>
  </si>
  <si>
    <t>DuPont Analysis</t>
  </si>
  <si>
    <t>Efficiency Ratios</t>
  </si>
  <si>
    <t>Non Performing loans/ Total Loans</t>
  </si>
  <si>
    <t>Net Charge-offs/ Total Loans</t>
  </si>
  <si>
    <t>Provision for Loan Losses / Total Loans</t>
  </si>
  <si>
    <t>Note 11:</t>
  </si>
  <si>
    <t>Total Loans</t>
  </si>
  <si>
    <t>Provision against loans</t>
  </si>
  <si>
    <t>Non Performing loans</t>
  </si>
  <si>
    <t>Provision for Loan Losses / Equity Capital</t>
  </si>
  <si>
    <t>Allowance for Loan losses / Total loans</t>
  </si>
  <si>
    <t>Allowance for Loan losses / Equity Capital</t>
  </si>
  <si>
    <t>Nonperforming Loans / Equity Capital</t>
  </si>
  <si>
    <t>operating efficiency ratio</t>
  </si>
  <si>
    <t>employee productivity ratio</t>
  </si>
  <si>
    <t>net operating income= rev - exp</t>
  </si>
  <si>
    <t xml:space="preserve">no of full time equiv emp </t>
  </si>
  <si>
    <t>Credit Risk Measures</t>
  </si>
  <si>
    <t>Other Goals In Banking</t>
  </si>
  <si>
    <t>Stock price/ EPS</t>
  </si>
  <si>
    <t>Stock price</t>
  </si>
  <si>
    <t>Equity Capital / Total Assets</t>
  </si>
  <si>
    <t>EPS</t>
  </si>
  <si>
    <t>Purchased Funds/ Total Liabilities</t>
  </si>
  <si>
    <t>Purchased funds</t>
  </si>
  <si>
    <t>Equity Capital / Risk assets</t>
  </si>
  <si>
    <t>from the notes</t>
  </si>
  <si>
    <t>Borrowings from state bank and other financial institutions</t>
  </si>
  <si>
    <t>Risk assets</t>
  </si>
  <si>
    <t>Total risk assets</t>
  </si>
  <si>
    <t>Capital Risk Ratios</t>
  </si>
  <si>
    <t>Current deposits - Customers</t>
  </si>
  <si>
    <t>Current deposits - Financial Institutions</t>
  </si>
  <si>
    <t>Interest Sensitive Liabilities</t>
  </si>
  <si>
    <t>Interest Sensitive Assets / Interest Sensitive Liabilities</t>
  </si>
  <si>
    <t>Interest Rate Risk Measures</t>
  </si>
  <si>
    <t>Uninsured Deposits / Total Deposits</t>
  </si>
  <si>
    <t>Liquidity Risk Measures</t>
  </si>
  <si>
    <t>Purchased funds/ Total Assets</t>
  </si>
  <si>
    <t>Net loans/Total Assets</t>
  </si>
  <si>
    <t>Net laons= total loans -non performing loans</t>
  </si>
  <si>
    <t>Cash and due from bank/Total Assets</t>
  </si>
  <si>
    <t>Cash and govt. securities/Total Assets</t>
  </si>
  <si>
    <t>Purcahsed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</si>
</sst>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0000000_);_(* \(#,##0.00000000000\);_(* &quot;-&quot;??_);_(@_)"/>
    <numFmt numFmtId="165" formatCode="_(* #,##0.00000000000000_);_(* \(#,##0.00000000000000\);_(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0" fontId="0" fillId="0" borderId="1" xfId="0" applyFont="1" applyFill="1" applyBorder="1"/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0" fontId="3" fillId="2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center"/>
    </xf>
    <xf numFmtId="43" fontId="3" fillId="6" borderId="1" xfId="1" applyFont="1" applyFill="1" applyBorder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0" fillId="0" borderId="6" xfId="0" applyFont="1" applyFill="1" applyBorder="1"/>
    <xf numFmtId="0" fontId="0" fillId="0" borderId="5" xfId="0" applyFont="1" applyFill="1" applyBorder="1" applyAlignment="1">
      <alignment horizontal="left"/>
    </xf>
    <xf numFmtId="43" fontId="0" fillId="0" borderId="6" xfId="1" applyFont="1" applyFill="1" applyBorder="1"/>
    <xf numFmtId="0" fontId="3" fillId="6" borderId="5" xfId="0" applyFont="1" applyFill="1" applyBorder="1" applyAlignment="1">
      <alignment horizontal="left"/>
    </xf>
    <xf numFmtId="43" fontId="3" fillId="6" borderId="6" xfId="1" applyFont="1" applyFill="1" applyBorder="1"/>
    <xf numFmtId="0" fontId="3" fillId="3" borderId="5" xfId="0" applyFont="1" applyFill="1" applyBorder="1" applyAlignment="1">
      <alignment horizontal="left"/>
    </xf>
    <xf numFmtId="43" fontId="0" fillId="0" borderId="6" xfId="1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43" fontId="3" fillId="0" borderId="6" xfId="1" applyFont="1" applyFill="1" applyBorder="1"/>
    <xf numFmtId="0" fontId="3" fillId="5" borderId="5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43" fontId="3" fillId="6" borderId="8" xfId="1" applyFont="1" applyFill="1" applyBorder="1" applyAlignment="1">
      <alignment horizontal="center"/>
    </xf>
    <xf numFmtId="43" fontId="3" fillId="6" borderId="8" xfId="1" applyFont="1" applyFill="1" applyBorder="1"/>
    <xf numFmtId="43" fontId="3" fillId="6" borderId="9" xfId="1" applyFont="1" applyFill="1" applyBorder="1"/>
    <xf numFmtId="0" fontId="0" fillId="0" borderId="0" xfId="0"/>
    <xf numFmtId="43" fontId="0" fillId="0" borderId="1" xfId="1" applyFont="1" applyBorder="1"/>
    <xf numFmtId="43" fontId="0" fillId="0" borderId="1" xfId="1" applyFont="1" applyFill="1" applyBorder="1"/>
    <xf numFmtId="0" fontId="0" fillId="0" borderId="5" xfId="0" applyFill="1" applyBorder="1" applyAlignment="1">
      <alignment horizontal="center"/>
    </xf>
    <xf numFmtId="43" fontId="0" fillId="0" borderId="6" xfId="1" applyFont="1" applyBorder="1"/>
    <xf numFmtId="0" fontId="0" fillId="0" borderId="5" xfId="0" applyFont="1" applyFill="1" applyBorder="1"/>
    <xf numFmtId="43" fontId="0" fillId="0" borderId="6" xfId="1" applyFont="1" applyFill="1" applyBorder="1"/>
    <xf numFmtId="0" fontId="0" fillId="0" borderId="7" xfId="0" applyFont="1" applyFill="1" applyBorder="1"/>
    <xf numFmtId="43" fontId="0" fillId="0" borderId="8" xfId="1" applyFont="1" applyFill="1" applyBorder="1"/>
    <xf numFmtId="43" fontId="0" fillId="0" borderId="9" xfId="1" applyFont="1" applyFill="1" applyBorder="1"/>
    <xf numFmtId="0" fontId="3" fillId="2" borderId="1" xfId="1" applyNumberFormat="1" applyFont="1" applyFill="1" applyBorder="1" applyAlignment="1">
      <alignment horizontal="center"/>
    </xf>
    <xf numFmtId="0" fontId="3" fillId="2" borderId="6" xfId="1" applyNumberFormat="1" applyFont="1" applyFill="1" applyBorder="1" applyAlignment="1">
      <alignment horizontal="center"/>
    </xf>
    <xf numFmtId="0" fontId="3" fillId="4" borderId="5" xfId="0" applyFont="1" applyFill="1" applyBorder="1"/>
    <xf numFmtId="43" fontId="3" fillId="4" borderId="1" xfId="1" applyFont="1" applyFill="1" applyBorder="1"/>
    <xf numFmtId="43" fontId="3" fillId="4" borderId="6" xfId="1" applyFont="1" applyFill="1" applyBorder="1"/>
    <xf numFmtId="0" fontId="3" fillId="5" borderId="5" xfId="0" applyFont="1" applyFill="1" applyBorder="1"/>
    <xf numFmtId="43" fontId="3" fillId="5" borderId="1" xfId="1" applyFont="1" applyFill="1" applyBorder="1"/>
    <xf numFmtId="43" fontId="3" fillId="5" borderId="6" xfId="1" applyFont="1" applyFill="1" applyBorder="1"/>
    <xf numFmtId="10" fontId="0" fillId="0" borderId="1" xfId="2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0" fontId="3" fillId="0" borderId="5" xfId="0" applyFont="1" applyBorder="1"/>
    <xf numFmtId="2" fontId="0" fillId="0" borderId="6" xfId="0" applyNumberFormat="1" applyBorder="1"/>
    <xf numFmtId="10" fontId="0" fillId="0" borderId="6" xfId="2" applyNumberFormat="1" applyFont="1" applyBorder="1"/>
    <xf numFmtId="165" fontId="0" fillId="0" borderId="6" xfId="0" applyNumberFormat="1" applyBorder="1"/>
    <xf numFmtId="0" fontId="3" fillId="0" borderId="7" xfId="0" applyFont="1" applyBorder="1"/>
    <xf numFmtId="10" fontId="0" fillId="0" borderId="8" xfId="2" applyNumberFormat="1" applyFont="1" applyBorder="1"/>
    <xf numFmtId="10" fontId="0" fillId="0" borderId="9" xfId="2" applyNumberFormat="1" applyFont="1" applyBorder="1"/>
    <xf numFmtId="0" fontId="0" fillId="0" borderId="0" xfId="0" applyBorder="1"/>
    <xf numFmtId="0" fontId="0" fillId="0" borderId="14" xfId="0" applyBorder="1"/>
    <xf numFmtId="10" fontId="0" fillId="0" borderId="0" xfId="0" applyNumberFormat="1" applyBorder="1"/>
    <xf numFmtId="10" fontId="0" fillId="0" borderId="15" xfId="0" applyNumberFormat="1" applyBorder="1"/>
    <xf numFmtId="0" fontId="3" fillId="0" borderId="14" xfId="0" applyFont="1" applyFill="1" applyBorder="1"/>
    <xf numFmtId="0" fontId="0" fillId="0" borderId="15" xfId="0" applyBorder="1"/>
    <xf numFmtId="2" fontId="3" fillId="0" borderId="5" xfId="0" applyNumberFormat="1" applyFont="1" applyFill="1" applyBorder="1"/>
    <xf numFmtId="2" fontId="0" fillId="0" borderId="1" xfId="2" applyNumberFormat="1" applyFont="1" applyFill="1" applyBorder="1"/>
    <xf numFmtId="2" fontId="0" fillId="0" borderId="6" xfId="2" applyNumberFormat="1" applyFont="1" applyFill="1" applyBorder="1"/>
    <xf numFmtId="0" fontId="0" fillId="0" borderId="0" xfId="0" applyFill="1"/>
    <xf numFmtId="0" fontId="0" fillId="5" borderId="5" xfId="0" applyFill="1" applyBorder="1"/>
    <xf numFmtId="0" fontId="3" fillId="5" borderId="1" xfId="0" applyFont="1" applyFill="1" applyBorder="1"/>
    <xf numFmtId="0" fontId="3" fillId="5" borderId="6" xfId="0" applyFont="1" applyFill="1" applyBorder="1"/>
    <xf numFmtId="0" fontId="3" fillId="0" borderId="1" xfId="0" applyFont="1" applyFill="1" applyBorder="1"/>
    <xf numFmtId="10" fontId="0" fillId="0" borderId="0" xfId="2" applyNumberFormat="1" applyFont="1"/>
    <xf numFmtId="0" fontId="3" fillId="0" borderId="0" xfId="0" applyFont="1"/>
    <xf numFmtId="43" fontId="0" fillId="0" borderId="0" xfId="1" applyFont="1"/>
    <xf numFmtId="0" fontId="3" fillId="4" borderId="1" xfId="1" applyNumberFormat="1" applyFont="1" applyFill="1" applyBorder="1"/>
    <xf numFmtId="0" fontId="3" fillId="4" borderId="6" xfId="1" applyNumberFormat="1" applyFont="1" applyFill="1" applyBorder="1"/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3" fillId="0" borderId="1" xfId="0" applyFont="1" applyBorder="1"/>
    <xf numFmtId="10" fontId="0" fillId="0" borderId="1" xfId="0" applyNumberFormat="1" applyBorder="1"/>
    <xf numFmtId="0" fontId="0" fillId="0" borderId="1" xfId="0" applyBorder="1"/>
    <xf numFmtId="10" fontId="0" fillId="0" borderId="6" xfId="0" applyNumberFormat="1" applyBorder="1"/>
    <xf numFmtId="0" fontId="0" fillId="0" borderId="6" xfId="0" applyBorder="1"/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43" fontId="0" fillId="0" borderId="1" xfId="0" applyNumberFormat="1" applyBorder="1"/>
    <xf numFmtId="3" fontId="0" fillId="0" borderId="1" xfId="0" applyNumberFormat="1" applyBorder="1"/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/>
    <xf numFmtId="0" fontId="0" fillId="0" borderId="16" xfId="0" applyFont="1" applyFill="1" applyBorder="1"/>
    <xf numFmtId="0" fontId="0" fillId="0" borderId="17" xfId="1" applyNumberFormat="1" applyFont="1" applyFill="1" applyBorder="1"/>
    <xf numFmtId="0" fontId="0" fillId="0" borderId="18" xfId="1" applyNumberFormat="1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43" fontId="0" fillId="0" borderId="6" xfId="0" applyNumberFormat="1" applyBorder="1"/>
    <xf numFmtId="43" fontId="0" fillId="0" borderId="8" xfId="0" applyNumberFormat="1" applyBorder="1"/>
    <xf numFmtId="43" fontId="0" fillId="0" borderId="9" xfId="0" applyNumberFormat="1" applyBorder="1"/>
    <xf numFmtId="0" fontId="3" fillId="0" borderId="0" xfId="0" applyFont="1" applyBorder="1"/>
    <xf numFmtId="0" fontId="0" fillId="0" borderId="1" xfId="0" applyFill="1" applyBorder="1"/>
    <xf numFmtId="3" fontId="0" fillId="0" borderId="1" xfId="0" applyNumberFormat="1" applyFill="1" applyBorder="1"/>
    <xf numFmtId="0" fontId="3" fillId="0" borderId="1" xfId="0" applyFont="1" applyFill="1" applyBorder="1" applyAlignment="1">
      <alignment horizontal="left"/>
    </xf>
    <xf numFmtId="167" fontId="3" fillId="0" borderId="1" xfId="0" applyNumberFormat="1" applyFont="1" applyFill="1" applyBorder="1"/>
    <xf numFmtId="0" fontId="3" fillId="0" borderId="5" xfId="0" applyFont="1" applyFill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" xfId="0" applyNumberFormat="1" applyBorder="1"/>
    <xf numFmtId="43" fontId="3" fillId="0" borderId="1" xfId="0" applyNumberFormat="1" applyFont="1" applyBorder="1"/>
    <xf numFmtId="0" fontId="0" fillId="0" borderId="1" xfId="0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32" workbookViewId="0">
      <selection activeCell="B5" sqref="B5:B32"/>
    </sheetView>
  </sheetViews>
  <sheetFormatPr defaultRowHeight="15" x14ac:dyDescent="0.25"/>
  <cols>
    <col min="1" max="1" width="52" customWidth="1"/>
    <col min="2" max="2" width="21.140625" customWidth="1"/>
  </cols>
  <sheetData>
    <row r="1" spans="1:2" ht="15.75" x14ac:dyDescent="0.25">
      <c r="A1" s="1" t="s">
        <v>0</v>
      </c>
      <c r="B1" s="2"/>
    </row>
    <row r="2" spans="1:2" x14ac:dyDescent="0.25">
      <c r="A2" s="2" t="s">
        <v>1</v>
      </c>
      <c r="B2" s="2"/>
    </row>
    <row r="3" spans="1:2" x14ac:dyDescent="0.25">
      <c r="A3" s="2"/>
      <c r="B3" s="2"/>
    </row>
    <row r="4" spans="1:2" x14ac:dyDescent="0.25">
      <c r="A4" s="2" t="s">
        <v>2</v>
      </c>
      <c r="B4" s="2"/>
    </row>
    <row r="5" spans="1:2" x14ac:dyDescent="0.25">
      <c r="A5" s="2" t="s">
        <v>3</v>
      </c>
      <c r="B5" s="2">
        <v>58516658</v>
      </c>
    </row>
    <row r="6" spans="1:2" x14ac:dyDescent="0.25">
      <c r="A6" s="2" t="s">
        <v>4</v>
      </c>
      <c r="B6" s="2">
        <v>3517361</v>
      </c>
    </row>
    <row r="7" spans="1:2" x14ac:dyDescent="0.25">
      <c r="A7" s="2" t="s">
        <v>5</v>
      </c>
      <c r="B7" s="2"/>
    </row>
    <row r="8" spans="1:2" x14ac:dyDescent="0.25">
      <c r="A8" s="2" t="s">
        <v>6</v>
      </c>
      <c r="B8" s="2">
        <v>357249356</v>
      </c>
    </row>
    <row r="9" spans="1:2" x14ac:dyDescent="0.25">
      <c r="A9" s="2" t="s">
        <v>7</v>
      </c>
      <c r="B9" s="2">
        <v>396295362</v>
      </c>
    </row>
    <row r="10" spans="1:2" x14ac:dyDescent="0.25">
      <c r="A10" s="2" t="s">
        <v>8</v>
      </c>
      <c r="B10" s="2">
        <v>26416480</v>
      </c>
    </row>
    <row r="11" spans="1:2" x14ac:dyDescent="0.25">
      <c r="A11" s="2" t="s">
        <v>9</v>
      </c>
      <c r="B11" s="2">
        <v>2098064</v>
      </c>
    </row>
    <row r="12" spans="1:2" x14ac:dyDescent="0.25">
      <c r="A12" s="2" t="s">
        <v>10</v>
      </c>
      <c r="B12" s="2"/>
    </row>
    <row r="13" spans="1:2" x14ac:dyDescent="0.25">
      <c r="A13" s="2" t="s">
        <v>11</v>
      </c>
      <c r="B13" s="2">
        <v>25875215</v>
      </c>
    </row>
    <row r="14" spans="1:2" x14ac:dyDescent="0.25">
      <c r="A14" s="2"/>
      <c r="B14" s="2">
        <v>869968496</v>
      </c>
    </row>
    <row r="15" spans="1:2" x14ac:dyDescent="0.25">
      <c r="A15" s="2" t="s">
        <v>12</v>
      </c>
      <c r="B15" s="2"/>
    </row>
    <row r="16" spans="1:2" x14ac:dyDescent="0.25">
      <c r="A16" s="2" t="s">
        <v>13</v>
      </c>
      <c r="B16" s="2">
        <v>14122901</v>
      </c>
    </row>
    <row r="17" spans="1:2" x14ac:dyDescent="0.25">
      <c r="A17" s="2" t="s">
        <v>14</v>
      </c>
      <c r="B17" s="2">
        <v>111189829</v>
      </c>
    </row>
    <row r="18" spans="1:2" x14ac:dyDescent="0.25">
      <c r="A18" s="2" t="s">
        <v>15</v>
      </c>
      <c r="B18" s="2">
        <v>644039999</v>
      </c>
    </row>
    <row r="19" spans="1:2" x14ac:dyDescent="0.25">
      <c r="A19" s="2" t="s">
        <v>16</v>
      </c>
      <c r="B19" s="2"/>
    </row>
    <row r="20" spans="1:2" x14ac:dyDescent="0.25">
      <c r="A20" s="2" t="s">
        <v>17</v>
      </c>
      <c r="B20" s="2"/>
    </row>
    <row r="21" spans="1:2" x14ac:dyDescent="0.25">
      <c r="A21" s="2" t="s">
        <v>18</v>
      </c>
      <c r="B21" s="2">
        <v>611506</v>
      </c>
    </row>
    <row r="22" spans="1:2" x14ac:dyDescent="0.25">
      <c r="A22" s="2" t="s">
        <v>19</v>
      </c>
      <c r="B22" s="2">
        <v>33873861</v>
      </c>
    </row>
    <row r="23" spans="1:2" x14ac:dyDescent="0.25">
      <c r="A23" s="2"/>
      <c r="B23" s="2">
        <v>803838096</v>
      </c>
    </row>
    <row r="24" spans="1:2" x14ac:dyDescent="0.25">
      <c r="A24" s="2" t="s">
        <v>20</v>
      </c>
      <c r="B24" s="2">
        <v>66130400</v>
      </c>
    </row>
    <row r="25" spans="1:2" x14ac:dyDescent="0.25">
      <c r="A25" s="2" t="s">
        <v>21</v>
      </c>
      <c r="B25" s="2"/>
    </row>
    <row r="26" spans="1:2" x14ac:dyDescent="0.25">
      <c r="A26" s="2" t="s">
        <v>22</v>
      </c>
      <c r="B26" s="2">
        <v>15176965</v>
      </c>
    </row>
    <row r="27" spans="1:2" x14ac:dyDescent="0.25">
      <c r="A27" s="2" t="s">
        <v>23</v>
      </c>
      <c r="B27" s="2">
        <v>12613183</v>
      </c>
    </row>
    <row r="28" spans="1:2" x14ac:dyDescent="0.25">
      <c r="A28" s="2" t="s">
        <v>24</v>
      </c>
      <c r="B28" s="2">
        <v>7061583</v>
      </c>
    </row>
    <row r="29" spans="1:2" x14ac:dyDescent="0.25">
      <c r="A29" s="2" t="s">
        <v>25</v>
      </c>
      <c r="B29" s="2">
        <v>31278631</v>
      </c>
    </row>
    <row r="30" spans="1:2" x14ac:dyDescent="0.25">
      <c r="A30" s="2" t="s">
        <v>26</v>
      </c>
      <c r="B30" s="2">
        <v>66130362</v>
      </c>
    </row>
    <row r="31" spans="1:2" x14ac:dyDescent="0.25">
      <c r="A31" s="2" t="s">
        <v>27</v>
      </c>
      <c r="B31" s="2">
        <v>38</v>
      </c>
    </row>
    <row r="32" spans="1:2" x14ac:dyDescent="0.25">
      <c r="A32" s="2"/>
      <c r="B32" s="2">
        <v>66130400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32" sqref="B5:B32"/>
    </sheetView>
  </sheetViews>
  <sheetFormatPr defaultRowHeight="15" x14ac:dyDescent="0.25"/>
  <cols>
    <col min="1" max="1" width="49.85546875" customWidth="1"/>
    <col min="2" max="2" width="10.85546875" bestFit="1" customWidth="1"/>
  </cols>
  <sheetData>
    <row r="1" spans="1:2" ht="15.75" x14ac:dyDescent="0.25">
      <c r="A1" s="1" t="s">
        <v>0</v>
      </c>
    </row>
    <row r="2" spans="1:2" x14ac:dyDescent="0.25">
      <c r="A2" s="2" t="s">
        <v>28</v>
      </c>
    </row>
    <row r="3" spans="1:2" x14ac:dyDescent="0.25">
      <c r="A3" s="2"/>
    </row>
    <row r="4" spans="1:2" x14ac:dyDescent="0.25">
      <c r="A4" s="2" t="s">
        <v>2</v>
      </c>
    </row>
    <row r="5" spans="1:2" x14ac:dyDescent="0.25">
      <c r="A5" s="2" t="s">
        <v>3</v>
      </c>
      <c r="B5">
        <v>59881290</v>
      </c>
    </row>
    <row r="6" spans="1:2" x14ac:dyDescent="0.25">
      <c r="A6" s="2" t="s">
        <v>4</v>
      </c>
      <c r="B6">
        <v>2878630</v>
      </c>
    </row>
    <row r="7" spans="1:2" x14ac:dyDescent="0.25">
      <c r="A7" s="2" t="s">
        <v>5</v>
      </c>
      <c r="B7">
        <v>2985000</v>
      </c>
    </row>
    <row r="8" spans="1:2" x14ac:dyDescent="0.25">
      <c r="A8" s="2" t="s">
        <v>6</v>
      </c>
      <c r="B8">
        <v>276469824</v>
      </c>
    </row>
    <row r="9" spans="1:2" x14ac:dyDescent="0.25">
      <c r="A9" s="2" t="s">
        <v>7</v>
      </c>
      <c r="B9">
        <v>318179878</v>
      </c>
    </row>
    <row r="10" spans="1:2" x14ac:dyDescent="0.25">
      <c r="A10" s="2" t="s">
        <v>8</v>
      </c>
      <c r="B10">
        <v>24102155</v>
      </c>
    </row>
    <row r="11" spans="1:2" x14ac:dyDescent="0.25">
      <c r="A11" s="2" t="s">
        <v>9</v>
      </c>
      <c r="B11">
        <v>1894204</v>
      </c>
    </row>
    <row r="12" spans="1:2" x14ac:dyDescent="0.25">
      <c r="A12" s="2" t="s">
        <v>10</v>
      </c>
    </row>
    <row r="13" spans="1:2" x14ac:dyDescent="0.25">
      <c r="A13" s="2" t="s">
        <v>11</v>
      </c>
      <c r="B13">
        <v>23673221</v>
      </c>
    </row>
    <row r="14" spans="1:2" x14ac:dyDescent="0.25">
      <c r="A14" s="2"/>
      <c r="B14">
        <v>710064202</v>
      </c>
    </row>
    <row r="15" spans="1:2" x14ac:dyDescent="0.25">
      <c r="A15" s="2" t="s">
        <v>12</v>
      </c>
    </row>
    <row r="16" spans="1:2" x14ac:dyDescent="0.25">
      <c r="A16" s="2" t="s">
        <v>13</v>
      </c>
      <c r="B16">
        <v>13543270</v>
      </c>
    </row>
    <row r="17" spans="1:2" x14ac:dyDescent="0.25">
      <c r="A17" s="2" t="s">
        <v>14</v>
      </c>
      <c r="B17">
        <v>58446516</v>
      </c>
    </row>
    <row r="18" spans="1:2" x14ac:dyDescent="0.25">
      <c r="A18" s="2" t="s">
        <v>15</v>
      </c>
      <c r="B18">
        <v>540632217</v>
      </c>
    </row>
    <row r="19" spans="1:2" x14ac:dyDescent="0.25">
      <c r="A19" s="2" t="s">
        <v>16</v>
      </c>
    </row>
    <row r="20" spans="1:2" x14ac:dyDescent="0.25">
      <c r="A20" s="2" t="s">
        <v>17</v>
      </c>
    </row>
    <row r="21" spans="1:2" x14ac:dyDescent="0.25">
      <c r="A21" s="2" t="s">
        <v>18</v>
      </c>
      <c r="B21">
        <v>1582351</v>
      </c>
    </row>
    <row r="22" spans="1:2" x14ac:dyDescent="0.25">
      <c r="A22" s="2" t="s">
        <v>19</v>
      </c>
      <c r="B22">
        <v>35641746</v>
      </c>
    </row>
    <row r="23" spans="1:2" x14ac:dyDescent="0.25">
      <c r="A23" s="2"/>
      <c r="B23">
        <v>649846100</v>
      </c>
    </row>
    <row r="24" spans="1:2" x14ac:dyDescent="0.25">
      <c r="A24" s="2" t="s">
        <v>20</v>
      </c>
      <c r="B24">
        <v>60218102</v>
      </c>
    </row>
    <row r="25" spans="1:2" x14ac:dyDescent="0.25">
      <c r="A25" s="2" t="s">
        <v>21</v>
      </c>
    </row>
    <row r="26" spans="1:2" x14ac:dyDescent="0.25">
      <c r="A26" s="2" t="s">
        <v>22</v>
      </c>
      <c r="B26">
        <v>15176965</v>
      </c>
    </row>
    <row r="27" spans="1:2" x14ac:dyDescent="0.25">
      <c r="A27" s="2" t="s">
        <v>23</v>
      </c>
      <c r="B27">
        <v>11032647</v>
      </c>
    </row>
    <row r="28" spans="1:2" x14ac:dyDescent="0.25">
      <c r="A28" s="2" t="s">
        <v>24</v>
      </c>
      <c r="B28">
        <v>9027473</v>
      </c>
    </row>
    <row r="29" spans="1:2" x14ac:dyDescent="0.25">
      <c r="A29" s="2" t="s">
        <v>25</v>
      </c>
      <c r="B29">
        <v>24981002</v>
      </c>
    </row>
    <row r="30" spans="1:2" x14ac:dyDescent="0.25">
      <c r="A30" s="2" t="s">
        <v>26</v>
      </c>
      <c r="B30">
        <v>60218087</v>
      </c>
    </row>
    <row r="31" spans="1:2" x14ac:dyDescent="0.25">
      <c r="A31" s="2" t="s">
        <v>27</v>
      </c>
      <c r="B31">
        <v>15</v>
      </c>
    </row>
    <row r="32" spans="1:2" x14ac:dyDescent="0.25">
      <c r="B32">
        <v>60218102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B32" sqref="B5:B32"/>
    </sheetView>
  </sheetViews>
  <sheetFormatPr defaultRowHeight="15" x14ac:dyDescent="0.25"/>
  <cols>
    <col min="1" max="1" width="50.140625" customWidth="1"/>
    <col min="2" max="2" width="10.85546875" bestFit="1" customWidth="1"/>
  </cols>
  <sheetData>
    <row r="1" spans="1:2" ht="15.75" x14ac:dyDescent="0.25">
      <c r="A1" s="1" t="s">
        <v>0</v>
      </c>
    </row>
    <row r="2" spans="1:2" x14ac:dyDescent="0.25">
      <c r="A2" s="2" t="s">
        <v>29</v>
      </c>
    </row>
    <row r="3" spans="1:2" x14ac:dyDescent="0.25">
      <c r="A3" s="2"/>
    </row>
    <row r="4" spans="1:2" x14ac:dyDescent="0.25">
      <c r="A4" s="2" t="s">
        <v>2</v>
      </c>
    </row>
    <row r="5" spans="1:2" x14ac:dyDescent="0.25">
      <c r="A5" s="2" t="s">
        <v>3</v>
      </c>
      <c r="B5">
        <v>60368426</v>
      </c>
    </row>
    <row r="6" spans="1:2" x14ac:dyDescent="0.25">
      <c r="A6" s="2" t="s">
        <v>4</v>
      </c>
      <c r="B6">
        <v>2835650</v>
      </c>
    </row>
    <row r="7" spans="1:2" x14ac:dyDescent="0.25">
      <c r="A7" s="2" t="s">
        <v>5</v>
      </c>
    </row>
    <row r="8" spans="1:2" x14ac:dyDescent="0.25">
      <c r="A8" s="2" t="s">
        <v>6</v>
      </c>
      <c r="B8">
        <v>203594303</v>
      </c>
    </row>
    <row r="9" spans="1:2" x14ac:dyDescent="0.25">
      <c r="A9" s="2" t="s">
        <v>7</v>
      </c>
      <c r="B9">
        <v>309573002</v>
      </c>
    </row>
    <row r="10" spans="1:2" x14ac:dyDescent="0.25">
      <c r="A10" s="2" t="s">
        <v>8</v>
      </c>
      <c r="B10">
        <v>24241544</v>
      </c>
    </row>
    <row r="11" spans="1:2" x14ac:dyDescent="0.25">
      <c r="A11" s="2" t="s">
        <v>9</v>
      </c>
      <c r="B11">
        <v>1840624</v>
      </c>
    </row>
    <row r="12" spans="1:2" x14ac:dyDescent="0.25">
      <c r="A12" s="2" t="s">
        <v>10</v>
      </c>
    </row>
    <row r="13" spans="1:2" x14ac:dyDescent="0.25">
      <c r="A13" s="2" t="s">
        <v>11</v>
      </c>
      <c r="B13">
        <v>27406984</v>
      </c>
    </row>
    <row r="14" spans="1:2" x14ac:dyDescent="0.25">
      <c r="A14" s="2"/>
      <c r="B14">
        <v>629860533</v>
      </c>
    </row>
    <row r="15" spans="1:2" x14ac:dyDescent="0.25">
      <c r="A15" s="2" t="s">
        <v>12</v>
      </c>
    </row>
    <row r="16" spans="1:2" x14ac:dyDescent="0.25">
      <c r="A16" s="2" t="s">
        <v>13</v>
      </c>
      <c r="B16">
        <v>8356460</v>
      </c>
    </row>
    <row r="17" spans="1:2" x14ac:dyDescent="0.25">
      <c r="A17" s="2" t="s">
        <v>14</v>
      </c>
      <c r="B17">
        <v>72746795</v>
      </c>
    </row>
    <row r="18" spans="1:2" x14ac:dyDescent="0.25">
      <c r="A18" s="2" t="s">
        <v>15</v>
      </c>
      <c r="B18">
        <v>457785183</v>
      </c>
    </row>
    <row r="19" spans="1:2" x14ac:dyDescent="0.25">
      <c r="A19" s="2" t="s">
        <v>16</v>
      </c>
    </row>
    <row r="20" spans="1:2" x14ac:dyDescent="0.25">
      <c r="A20" s="2" t="s">
        <v>17</v>
      </c>
    </row>
    <row r="21" spans="1:2" x14ac:dyDescent="0.25">
      <c r="A21" s="2" t="s">
        <v>18</v>
      </c>
      <c r="B21">
        <v>2816798</v>
      </c>
    </row>
    <row r="22" spans="1:2" x14ac:dyDescent="0.25">
      <c r="A22" s="2" t="s">
        <v>19</v>
      </c>
      <c r="B22">
        <v>32949870</v>
      </c>
    </row>
    <row r="23" spans="1:2" x14ac:dyDescent="0.25">
      <c r="A23" s="2"/>
      <c r="B23">
        <v>574655106</v>
      </c>
    </row>
    <row r="24" spans="1:2" x14ac:dyDescent="0.25">
      <c r="A24" s="2" t="s">
        <v>20</v>
      </c>
      <c r="B24">
        <v>55205427</v>
      </c>
    </row>
    <row r="25" spans="1:2" x14ac:dyDescent="0.25">
      <c r="A25" s="2" t="s">
        <v>21</v>
      </c>
    </row>
    <row r="26" spans="1:2" x14ac:dyDescent="0.25">
      <c r="A26" s="2" t="s">
        <v>22</v>
      </c>
      <c r="B26">
        <v>15176965</v>
      </c>
    </row>
    <row r="27" spans="1:2" x14ac:dyDescent="0.25">
      <c r="A27" s="2" t="s">
        <v>23</v>
      </c>
      <c r="B27">
        <v>9830958</v>
      </c>
    </row>
    <row r="28" spans="1:2" x14ac:dyDescent="0.25">
      <c r="A28" s="2" t="s">
        <v>24</v>
      </c>
      <c r="B28">
        <v>10748080</v>
      </c>
    </row>
    <row r="29" spans="1:2" x14ac:dyDescent="0.25">
      <c r="A29" s="2" t="s">
        <v>25</v>
      </c>
      <c r="B29">
        <v>19449413</v>
      </c>
    </row>
    <row r="30" spans="1:2" x14ac:dyDescent="0.25">
      <c r="A30" s="2" t="s">
        <v>26</v>
      </c>
      <c r="B30">
        <v>55205416</v>
      </c>
    </row>
    <row r="31" spans="1:2" x14ac:dyDescent="0.25">
      <c r="A31" s="2" t="s">
        <v>27</v>
      </c>
      <c r="B31">
        <v>11</v>
      </c>
    </row>
    <row r="32" spans="1:2" x14ac:dyDescent="0.25">
      <c r="B32">
        <v>55205427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>
      <selection activeCell="A5" sqref="A5"/>
    </sheetView>
  </sheetViews>
  <sheetFormatPr defaultRowHeight="15" x14ac:dyDescent="0.25"/>
  <cols>
    <col min="1" max="1" width="53" customWidth="1"/>
    <col min="2" max="2" width="10.85546875" bestFit="1" customWidth="1"/>
  </cols>
  <sheetData>
    <row r="1" spans="1:2" ht="15.75" x14ac:dyDescent="0.25">
      <c r="A1" s="1" t="s">
        <v>0</v>
      </c>
    </row>
    <row r="2" spans="1:2" x14ac:dyDescent="0.25">
      <c r="A2" s="2" t="s">
        <v>30</v>
      </c>
    </row>
    <row r="3" spans="1:2" x14ac:dyDescent="0.25">
      <c r="A3" s="2"/>
    </row>
    <row r="4" spans="1:2" x14ac:dyDescent="0.25">
      <c r="A4" s="2" t="s">
        <v>2</v>
      </c>
    </row>
    <row r="5" spans="1:2" x14ac:dyDescent="0.25">
      <c r="A5" s="2"/>
      <c r="B5">
        <v>43174003</v>
      </c>
    </row>
    <row r="6" spans="1:2" x14ac:dyDescent="0.25">
      <c r="A6" s="2" t="s">
        <v>4</v>
      </c>
      <c r="B6">
        <v>1848859</v>
      </c>
    </row>
    <row r="7" spans="1:2" x14ac:dyDescent="0.25">
      <c r="A7" s="2" t="s">
        <v>5</v>
      </c>
      <c r="B7">
        <v>2997486</v>
      </c>
    </row>
    <row r="8" spans="1:2" x14ac:dyDescent="0.25">
      <c r="A8" s="2" t="s">
        <v>6</v>
      </c>
      <c r="B8">
        <v>213815803</v>
      </c>
    </row>
    <row r="9" spans="1:2" x14ac:dyDescent="0.25">
      <c r="A9" s="2" t="s">
        <v>7</v>
      </c>
      <c r="B9">
        <v>296444861</v>
      </c>
    </row>
    <row r="10" spans="1:2" x14ac:dyDescent="0.25">
      <c r="A10" s="2" t="s">
        <v>8</v>
      </c>
      <c r="B10">
        <v>11662446</v>
      </c>
    </row>
    <row r="11" spans="1:2" x14ac:dyDescent="0.25">
      <c r="A11" s="2" t="s">
        <v>9</v>
      </c>
      <c r="B11">
        <v>1743900</v>
      </c>
    </row>
    <row r="12" spans="1:2" x14ac:dyDescent="0.25">
      <c r="A12" s="2" t="s">
        <v>10</v>
      </c>
      <c r="B12">
        <v>141712</v>
      </c>
    </row>
    <row r="13" spans="1:2" x14ac:dyDescent="0.25">
      <c r="A13" s="2" t="s">
        <v>11</v>
      </c>
      <c r="B13">
        <v>28167363</v>
      </c>
    </row>
    <row r="14" spans="1:2" x14ac:dyDescent="0.25">
      <c r="A14" s="2"/>
      <c r="B14">
        <v>599996433</v>
      </c>
    </row>
    <row r="15" spans="1:2" x14ac:dyDescent="0.25">
      <c r="A15" s="2" t="s">
        <v>12</v>
      </c>
    </row>
    <row r="16" spans="1:2" x14ac:dyDescent="0.25">
      <c r="A16" s="2" t="s">
        <v>13</v>
      </c>
      <c r="B16">
        <v>23543524</v>
      </c>
    </row>
    <row r="17" spans="1:2" x14ac:dyDescent="0.25">
      <c r="A17" s="2" t="s">
        <v>14</v>
      </c>
      <c r="B17">
        <v>98351921</v>
      </c>
    </row>
    <row r="18" spans="1:2" x14ac:dyDescent="0.25">
      <c r="A18" s="2" t="s">
        <v>15</v>
      </c>
      <c r="B18">
        <v>409383501</v>
      </c>
    </row>
    <row r="19" spans="1:2" x14ac:dyDescent="0.25">
      <c r="A19" s="2" t="s">
        <v>16</v>
      </c>
    </row>
    <row r="20" spans="1:2" x14ac:dyDescent="0.25">
      <c r="A20" s="2" t="s">
        <v>17</v>
      </c>
    </row>
    <row r="21" spans="1:2" x14ac:dyDescent="0.25">
      <c r="A21" s="2" t="s">
        <v>18</v>
      </c>
    </row>
    <row r="22" spans="1:2" x14ac:dyDescent="0.25">
      <c r="A22" s="2" t="s">
        <v>19</v>
      </c>
      <c r="B22">
        <v>25184233</v>
      </c>
    </row>
    <row r="23" spans="1:2" x14ac:dyDescent="0.25">
      <c r="A23" s="2"/>
      <c r="B23">
        <v>556463179</v>
      </c>
    </row>
    <row r="24" spans="1:2" x14ac:dyDescent="0.25">
      <c r="A24" s="2" t="s">
        <v>20</v>
      </c>
      <c r="B24">
        <v>43533254</v>
      </c>
    </row>
    <row r="25" spans="1:2" x14ac:dyDescent="0.25">
      <c r="A25" s="2" t="s">
        <v>21</v>
      </c>
    </row>
    <row r="26" spans="1:2" x14ac:dyDescent="0.25">
      <c r="A26" s="2" t="s">
        <v>22</v>
      </c>
      <c r="B26">
        <v>15176965</v>
      </c>
    </row>
    <row r="27" spans="1:2" x14ac:dyDescent="0.25">
      <c r="A27" s="2" t="s">
        <v>23</v>
      </c>
      <c r="B27">
        <v>8778908</v>
      </c>
    </row>
    <row r="28" spans="1:2" x14ac:dyDescent="0.25">
      <c r="A28" s="2" t="s">
        <v>24</v>
      </c>
      <c r="B28">
        <v>5093667</v>
      </c>
    </row>
    <row r="29" spans="1:2" x14ac:dyDescent="0.25">
      <c r="A29" s="2" t="s">
        <v>25</v>
      </c>
      <c r="B29">
        <v>14483709</v>
      </c>
    </row>
    <row r="30" spans="1:2" x14ac:dyDescent="0.25">
      <c r="A30" s="2" t="s">
        <v>26</v>
      </c>
      <c r="B30">
        <v>43533249</v>
      </c>
    </row>
    <row r="31" spans="1:2" x14ac:dyDescent="0.25">
      <c r="A31" s="2" t="s">
        <v>27</v>
      </c>
      <c r="B31">
        <v>5</v>
      </c>
    </row>
    <row r="32" spans="1:2" x14ac:dyDescent="0.25">
      <c r="B32">
        <v>43533254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8"/>
  <sheetViews>
    <sheetView tabSelected="1" workbookViewId="0"/>
  </sheetViews>
  <sheetFormatPr defaultRowHeight="15" x14ac:dyDescent="0.25"/>
  <cols>
    <col min="2" max="2" width="53.42578125" bestFit="1" customWidth="1"/>
    <col min="3" max="3" width="15.28515625" bestFit="1" customWidth="1"/>
    <col min="4" max="5" width="15.28515625" customWidth="1"/>
    <col min="6" max="7" width="15.28515625" bestFit="1" customWidth="1"/>
  </cols>
  <sheetData>
    <row r="1" spans="2:7" ht="15.75" thickBot="1" x14ac:dyDescent="0.3"/>
    <row r="2" spans="2:7" x14ac:dyDescent="0.25">
      <c r="B2" s="79" t="s">
        <v>33</v>
      </c>
      <c r="C2" s="80"/>
      <c r="D2" s="80"/>
      <c r="E2" s="80"/>
      <c r="F2" s="80"/>
      <c r="G2" s="81"/>
    </row>
    <row r="3" spans="2:7" x14ac:dyDescent="0.25">
      <c r="B3" s="12"/>
      <c r="C3" s="3"/>
      <c r="D3" s="3"/>
      <c r="E3" s="3"/>
      <c r="F3" s="3"/>
      <c r="G3" s="13"/>
    </row>
    <row r="4" spans="2:7" x14ac:dyDescent="0.25">
      <c r="B4" s="14"/>
      <c r="C4" s="9">
        <v>2021</v>
      </c>
      <c r="D4" s="9">
        <f>C4-1</f>
        <v>2020</v>
      </c>
      <c r="E4" s="9">
        <f t="shared" ref="E4:G4" si="0">D4-1</f>
        <v>2019</v>
      </c>
      <c r="F4" s="9">
        <f t="shared" si="0"/>
        <v>2018</v>
      </c>
      <c r="G4" s="15">
        <f t="shared" si="0"/>
        <v>2017</v>
      </c>
    </row>
    <row r="5" spans="2:7" x14ac:dyDescent="0.25">
      <c r="B5" s="16" t="s">
        <v>2</v>
      </c>
      <c r="C5" s="6"/>
      <c r="D5" s="6"/>
      <c r="E5" s="6"/>
      <c r="F5" s="6"/>
      <c r="G5" s="17"/>
    </row>
    <row r="6" spans="2:7" x14ac:dyDescent="0.25">
      <c r="B6" s="18" t="s">
        <v>3</v>
      </c>
      <c r="C6" s="4">
        <v>58516658</v>
      </c>
      <c r="D6" s="5">
        <v>59881290</v>
      </c>
      <c r="E6" s="5">
        <v>60368426</v>
      </c>
      <c r="F6" s="5">
        <v>43174003</v>
      </c>
      <c r="G6" s="19">
        <v>37861767</v>
      </c>
    </row>
    <row r="7" spans="2:7" x14ac:dyDescent="0.25">
      <c r="B7" s="18" t="s">
        <v>4</v>
      </c>
      <c r="C7" s="4">
        <v>3517361</v>
      </c>
      <c r="D7" s="5">
        <v>2878630</v>
      </c>
      <c r="E7" s="5">
        <v>2835650</v>
      </c>
      <c r="F7" s="5">
        <v>1848859</v>
      </c>
      <c r="G7" s="19">
        <v>1872771</v>
      </c>
    </row>
    <row r="8" spans="2:7" x14ac:dyDescent="0.25">
      <c r="B8" s="18" t="s">
        <v>5</v>
      </c>
      <c r="C8" s="4">
        <v>0</v>
      </c>
      <c r="D8" s="5">
        <v>2985000</v>
      </c>
      <c r="E8" s="5">
        <v>0</v>
      </c>
      <c r="F8" s="5">
        <v>2997486</v>
      </c>
      <c r="G8" s="19">
        <v>9010335</v>
      </c>
    </row>
    <row r="9" spans="2:7" x14ac:dyDescent="0.25">
      <c r="B9" s="18" t="s">
        <v>6</v>
      </c>
      <c r="C9" s="4">
        <v>357249356</v>
      </c>
      <c r="D9" s="5">
        <v>276469824</v>
      </c>
      <c r="E9" s="5">
        <v>203594303</v>
      </c>
      <c r="F9" s="5">
        <v>213815803</v>
      </c>
      <c r="G9" s="19">
        <v>179706358</v>
      </c>
    </row>
    <row r="10" spans="2:7" x14ac:dyDescent="0.25">
      <c r="B10" s="18" t="s">
        <v>7</v>
      </c>
      <c r="C10" s="4">
        <v>396295362</v>
      </c>
      <c r="D10" s="5">
        <v>318179878</v>
      </c>
      <c r="E10" s="5">
        <v>309573002</v>
      </c>
      <c r="F10" s="5">
        <v>296444861</v>
      </c>
      <c r="G10" s="19">
        <v>231532160</v>
      </c>
    </row>
    <row r="11" spans="2:7" x14ac:dyDescent="0.25">
      <c r="B11" s="18" t="s">
        <v>8</v>
      </c>
      <c r="C11" s="4">
        <v>26416480</v>
      </c>
      <c r="D11" s="5">
        <v>24102155</v>
      </c>
      <c r="E11" s="5">
        <v>24241544</v>
      </c>
      <c r="F11" s="5">
        <v>11662446</v>
      </c>
      <c r="G11" s="19">
        <v>11443528</v>
      </c>
    </row>
    <row r="12" spans="2:7" x14ac:dyDescent="0.25">
      <c r="B12" s="18" t="s">
        <v>9</v>
      </c>
      <c r="C12" s="4">
        <v>2098064</v>
      </c>
      <c r="D12" s="5">
        <v>1894204</v>
      </c>
      <c r="E12" s="5">
        <v>1840624</v>
      </c>
      <c r="F12" s="5">
        <v>1743900</v>
      </c>
      <c r="G12" s="19">
        <v>1496097</v>
      </c>
    </row>
    <row r="13" spans="2:7" x14ac:dyDescent="0.25">
      <c r="B13" s="18" t="s">
        <v>10</v>
      </c>
      <c r="C13" s="4">
        <v>0</v>
      </c>
      <c r="D13" s="5">
        <v>0</v>
      </c>
      <c r="E13" s="5">
        <v>0</v>
      </c>
      <c r="F13" s="5">
        <v>141712</v>
      </c>
      <c r="G13" s="19">
        <v>1607625</v>
      </c>
    </row>
    <row r="14" spans="2:7" x14ac:dyDescent="0.25">
      <c r="B14" s="18" t="s">
        <v>11</v>
      </c>
      <c r="C14" s="4">
        <v>25875215</v>
      </c>
      <c r="D14" s="5">
        <v>23673221</v>
      </c>
      <c r="E14" s="5">
        <v>27406984</v>
      </c>
      <c r="F14" s="5">
        <v>28167363</v>
      </c>
      <c r="G14" s="19">
        <v>20389047</v>
      </c>
    </row>
    <row r="15" spans="2:7" x14ac:dyDescent="0.25">
      <c r="B15" s="20" t="s">
        <v>32</v>
      </c>
      <c r="C15" s="10">
        <v>869968496</v>
      </c>
      <c r="D15" s="11">
        <v>710064202</v>
      </c>
      <c r="E15" s="11">
        <v>629860533</v>
      </c>
      <c r="F15" s="11">
        <v>599996433</v>
      </c>
      <c r="G15" s="21">
        <v>494919688</v>
      </c>
    </row>
    <row r="16" spans="2:7" x14ac:dyDescent="0.25">
      <c r="B16" s="18"/>
      <c r="C16" s="4"/>
      <c r="D16" s="5"/>
      <c r="E16" s="5"/>
      <c r="F16" s="5"/>
      <c r="G16" s="19"/>
    </row>
    <row r="17" spans="2:7" x14ac:dyDescent="0.25">
      <c r="B17" s="22" t="s">
        <v>12</v>
      </c>
      <c r="C17" s="4"/>
      <c r="D17" s="5"/>
      <c r="E17" s="5"/>
      <c r="F17" s="5"/>
      <c r="G17" s="19"/>
    </row>
    <row r="18" spans="2:7" x14ac:dyDescent="0.25">
      <c r="B18" s="18" t="s">
        <v>13</v>
      </c>
      <c r="C18" s="4">
        <v>14122901</v>
      </c>
      <c r="D18" s="5">
        <v>13543270</v>
      </c>
      <c r="E18" s="5">
        <v>8356460</v>
      </c>
      <c r="F18" s="5">
        <v>23543524</v>
      </c>
      <c r="G18" s="19">
        <v>8761334</v>
      </c>
    </row>
    <row r="19" spans="2:7" x14ac:dyDescent="0.25">
      <c r="B19" s="18" t="s">
        <v>14</v>
      </c>
      <c r="C19" s="4">
        <v>111189829</v>
      </c>
      <c r="D19" s="5">
        <v>58446516</v>
      </c>
      <c r="E19" s="5">
        <v>72746795</v>
      </c>
      <c r="F19" s="5">
        <v>98351921</v>
      </c>
      <c r="G19" s="19">
        <v>54788547</v>
      </c>
    </row>
    <row r="20" spans="2:7" x14ac:dyDescent="0.25">
      <c r="B20" s="18" t="s">
        <v>15</v>
      </c>
      <c r="C20" s="4">
        <v>644039999</v>
      </c>
      <c r="D20" s="5">
        <v>540632217</v>
      </c>
      <c r="E20" s="5">
        <v>457785183</v>
      </c>
      <c r="F20" s="5">
        <v>409383501</v>
      </c>
      <c r="G20" s="19">
        <v>371624155</v>
      </c>
    </row>
    <row r="21" spans="2:7" x14ac:dyDescent="0.25">
      <c r="B21" s="18" t="s">
        <v>16</v>
      </c>
      <c r="C21" s="4">
        <v>0</v>
      </c>
      <c r="D21" s="4">
        <v>0</v>
      </c>
      <c r="E21" s="4">
        <v>0</v>
      </c>
      <c r="F21" s="4">
        <v>0</v>
      </c>
      <c r="G21" s="23">
        <v>0</v>
      </c>
    </row>
    <row r="22" spans="2:7" x14ac:dyDescent="0.25">
      <c r="B22" s="18" t="s">
        <v>17</v>
      </c>
      <c r="C22" s="4">
        <v>0</v>
      </c>
      <c r="D22" s="4">
        <v>0</v>
      </c>
      <c r="E22" s="4">
        <v>0</v>
      </c>
      <c r="F22" s="4">
        <v>0</v>
      </c>
      <c r="G22" s="23">
        <v>0</v>
      </c>
    </row>
    <row r="23" spans="2:7" x14ac:dyDescent="0.25">
      <c r="B23" s="18" t="s">
        <v>18</v>
      </c>
      <c r="C23" s="4">
        <v>611506</v>
      </c>
      <c r="D23" s="5">
        <v>1582351</v>
      </c>
      <c r="E23" s="5">
        <v>2816798</v>
      </c>
      <c r="F23" s="5">
        <v>0</v>
      </c>
      <c r="G23" s="19">
        <v>0</v>
      </c>
    </row>
    <row r="24" spans="2:7" x14ac:dyDescent="0.25">
      <c r="B24" s="18" t="s">
        <v>19</v>
      </c>
      <c r="C24" s="4">
        <v>33873861</v>
      </c>
      <c r="D24" s="5">
        <v>35641746</v>
      </c>
      <c r="E24" s="5">
        <v>32949870</v>
      </c>
      <c r="F24" s="5">
        <v>25184233</v>
      </c>
      <c r="G24" s="19">
        <v>20513376</v>
      </c>
    </row>
    <row r="25" spans="2:7" x14ac:dyDescent="0.25">
      <c r="B25" s="20" t="s">
        <v>31</v>
      </c>
      <c r="C25" s="10">
        <v>803838096</v>
      </c>
      <c r="D25" s="11">
        <v>649846100</v>
      </c>
      <c r="E25" s="11">
        <v>574655106</v>
      </c>
      <c r="F25" s="11">
        <v>556463179</v>
      </c>
      <c r="G25" s="21">
        <v>455687412</v>
      </c>
    </row>
    <row r="26" spans="2:7" x14ac:dyDescent="0.25">
      <c r="B26" s="24"/>
      <c r="C26" s="7"/>
      <c r="D26" s="8"/>
      <c r="E26" s="8"/>
      <c r="F26" s="8"/>
      <c r="G26" s="25"/>
    </row>
    <row r="27" spans="2:7" x14ac:dyDescent="0.25">
      <c r="B27" s="26" t="s">
        <v>20</v>
      </c>
      <c r="C27" s="7">
        <v>66130400</v>
      </c>
      <c r="D27" s="8">
        <v>60218102</v>
      </c>
      <c r="E27" s="8">
        <v>55205427</v>
      </c>
      <c r="F27" s="8">
        <v>43533254</v>
      </c>
      <c r="G27" s="25">
        <v>39232276</v>
      </c>
    </row>
    <row r="28" spans="2:7" x14ac:dyDescent="0.25">
      <c r="B28" s="24" t="s">
        <v>21</v>
      </c>
      <c r="C28" s="4"/>
      <c r="D28" s="5"/>
      <c r="E28" s="5"/>
      <c r="F28" s="5"/>
      <c r="G28" s="19"/>
    </row>
    <row r="29" spans="2:7" x14ac:dyDescent="0.25">
      <c r="B29" s="18" t="s">
        <v>22</v>
      </c>
      <c r="C29" s="4">
        <v>15176965</v>
      </c>
      <c r="D29" s="5">
        <v>15176965</v>
      </c>
      <c r="E29" s="5">
        <v>15176965</v>
      </c>
      <c r="F29" s="5">
        <v>15176965</v>
      </c>
      <c r="G29" s="19">
        <v>13197361</v>
      </c>
    </row>
    <row r="30" spans="2:7" x14ac:dyDescent="0.25">
      <c r="B30" s="18" t="s">
        <v>23</v>
      </c>
      <c r="C30" s="4">
        <v>12613183</v>
      </c>
      <c r="D30" s="5">
        <v>11032647</v>
      </c>
      <c r="E30" s="5">
        <v>9830958</v>
      </c>
      <c r="F30" s="5">
        <v>8778908</v>
      </c>
      <c r="G30" s="19">
        <v>7936338</v>
      </c>
    </row>
    <row r="31" spans="2:7" x14ac:dyDescent="0.25">
      <c r="B31" s="18" t="s">
        <v>24</v>
      </c>
      <c r="C31" s="4">
        <v>7061583</v>
      </c>
      <c r="D31" s="5">
        <v>9027473</v>
      </c>
      <c r="E31" s="5">
        <v>10748080</v>
      </c>
      <c r="F31" s="5">
        <v>5093667</v>
      </c>
      <c r="G31" s="19">
        <v>5613243</v>
      </c>
    </row>
    <row r="32" spans="2:7" x14ac:dyDescent="0.25">
      <c r="B32" s="18" t="s">
        <v>25</v>
      </c>
      <c r="C32" s="4">
        <v>31278631</v>
      </c>
      <c r="D32" s="5">
        <v>24981002</v>
      </c>
      <c r="E32" s="5">
        <v>19449413</v>
      </c>
      <c r="F32" s="5">
        <v>14483709</v>
      </c>
      <c r="G32" s="19">
        <v>12485334</v>
      </c>
    </row>
    <row r="33" spans="2:7" x14ac:dyDescent="0.25">
      <c r="B33" s="20" t="s">
        <v>26</v>
      </c>
      <c r="C33" s="10">
        <v>66130362</v>
      </c>
      <c r="D33" s="11">
        <v>60218087</v>
      </c>
      <c r="E33" s="11">
        <v>55205416</v>
      </c>
      <c r="F33" s="11">
        <v>43533249</v>
      </c>
      <c r="G33" s="21">
        <v>39232276</v>
      </c>
    </row>
    <row r="34" spans="2:7" x14ac:dyDescent="0.25">
      <c r="B34" s="18" t="s">
        <v>27</v>
      </c>
      <c r="C34" s="4">
        <v>38</v>
      </c>
      <c r="D34" s="5">
        <v>15</v>
      </c>
      <c r="E34" s="5">
        <v>11</v>
      </c>
      <c r="F34" s="5">
        <v>5</v>
      </c>
      <c r="G34" s="19">
        <v>0</v>
      </c>
    </row>
    <row r="35" spans="2:7" ht="15.75" thickBot="1" x14ac:dyDescent="0.3">
      <c r="B35" s="27"/>
      <c r="C35" s="28">
        <v>66130400</v>
      </c>
      <c r="D35" s="29">
        <v>60218102</v>
      </c>
      <c r="E35" s="29">
        <v>55205427</v>
      </c>
      <c r="F35" s="29">
        <v>43533254</v>
      </c>
      <c r="G35" s="30">
        <v>39232276</v>
      </c>
    </row>
    <row r="38" spans="2:7" x14ac:dyDescent="0.25">
      <c r="C38" s="74">
        <f>'Risk Ratios'!L5/(BS!C10+905190)</f>
        <v>4.7926904693727616E-2</v>
      </c>
      <c r="D38" s="31">
        <f>'Risk Ratios'!M5/BS!D10</f>
        <v>7.0421052836031325E-2</v>
      </c>
      <c r="E38" s="31">
        <f>'Risk Ratios'!N5/BS!E10</f>
        <v>9.2957579679380439E-2</v>
      </c>
      <c r="F38" s="31">
        <f>'Risk Ratios'!O5/BS!F10</f>
        <v>8.673473681839268E-2</v>
      </c>
      <c r="G38" s="31">
        <f>'Risk Ratios'!P5/BS!G10</f>
        <v>0.11414060578020781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40"/>
  <sheetViews>
    <sheetView workbookViewId="0"/>
  </sheetViews>
  <sheetFormatPr defaultRowHeight="15" x14ac:dyDescent="0.25"/>
  <cols>
    <col min="2" max="2" width="35.5703125" bestFit="1" customWidth="1"/>
    <col min="3" max="7" width="14.28515625" bestFit="1" customWidth="1"/>
  </cols>
  <sheetData>
    <row r="1" spans="2:7" ht="15.75" thickBot="1" x14ac:dyDescent="0.3">
      <c r="B1" s="31"/>
      <c r="C1" s="31"/>
      <c r="D1" s="31"/>
      <c r="E1" s="31"/>
      <c r="F1" s="31"/>
      <c r="G1" s="31"/>
    </row>
    <row r="2" spans="2:7" x14ac:dyDescent="0.25">
      <c r="B2" s="82" t="s">
        <v>34</v>
      </c>
      <c r="C2" s="83"/>
      <c r="D2" s="83"/>
      <c r="E2" s="83"/>
      <c r="F2" s="83"/>
      <c r="G2" s="84"/>
    </row>
    <row r="3" spans="2:7" x14ac:dyDescent="0.25">
      <c r="B3" s="34"/>
      <c r="C3" s="32"/>
      <c r="D3" s="32"/>
      <c r="E3" s="32"/>
      <c r="F3" s="32"/>
      <c r="G3" s="35"/>
    </row>
    <row r="4" spans="2:7" x14ac:dyDescent="0.25">
      <c r="B4" s="36"/>
      <c r="C4" s="41">
        <v>2021</v>
      </c>
      <c r="D4" s="41">
        <v>2020</v>
      </c>
      <c r="E4" s="41">
        <v>2019</v>
      </c>
      <c r="F4" s="41">
        <v>2018</v>
      </c>
      <c r="G4" s="42">
        <v>2017</v>
      </c>
    </row>
    <row r="5" spans="2:7" x14ac:dyDescent="0.25">
      <c r="B5" s="36" t="s">
        <v>35</v>
      </c>
      <c r="C5" s="33">
        <v>53872073</v>
      </c>
      <c r="D5" s="33">
        <v>55925846</v>
      </c>
      <c r="E5" s="33">
        <v>58398995</v>
      </c>
      <c r="F5" s="33">
        <v>35201159</v>
      </c>
      <c r="G5" s="37">
        <v>28766119</v>
      </c>
    </row>
    <row r="6" spans="2:7" x14ac:dyDescent="0.25">
      <c r="B6" s="36" t="s">
        <v>36</v>
      </c>
      <c r="C6" s="33">
        <v>28032641</v>
      </c>
      <c r="D6" s="33">
        <v>31378104</v>
      </c>
      <c r="E6" s="33">
        <v>37272461</v>
      </c>
      <c r="F6" s="33">
        <v>18924879</v>
      </c>
      <c r="G6" s="37">
        <v>14830923</v>
      </c>
    </row>
    <row r="7" spans="2:7" x14ac:dyDescent="0.25">
      <c r="B7" s="43" t="s">
        <v>37</v>
      </c>
      <c r="C7" s="44">
        <v>25839432</v>
      </c>
      <c r="D7" s="44">
        <v>24547742</v>
      </c>
      <c r="E7" s="44">
        <v>21126534</v>
      </c>
      <c r="F7" s="44">
        <v>16276300</v>
      </c>
      <c r="G7" s="45">
        <v>13935196</v>
      </c>
    </row>
    <row r="8" spans="2:7" x14ac:dyDescent="0.25">
      <c r="B8" s="36"/>
      <c r="C8" s="33"/>
      <c r="D8" s="33"/>
      <c r="E8" s="33"/>
      <c r="F8" s="33"/>
      <c r="G8" s="37"/>
    </row>
    <row r="9" spans="2:7" x14ac:dyDescent="0.25">
      <c r="B9" s="36" t="s">
        <v>38</v>
      </c>
      <c r="C9" s="33"/>
      <c r="D9" s="33"/>
      <c r="E9" s="33"/>
      <c r="F9" s="33"/>
      <c r="G9" s="37"/>
    </row>
    <row r="10" spans="2:7" x14ac:dyDescent="0.25">
      <c r="B10" s="36" t="s">
        <v>39</v>
      </c>
      <c r="C10" s="33">
        <v>5583433</v>
      </c>
      <c r="D10" s="33">
        <v>4085368</v>
      </c>
      <c r="E10" s="33">
        <v>4228311</v>
      </c>
      <c r="F10" s="33">
        <v>3554907</v>
      </c>
      <c r="G10" s="37">
        <v>3086639</v>
      </c>
    </row>
    <row r="11" spans="2:7" x14ac:dyDescent="0.25">
      <c r="B11" s="36" t="s">
        <v>40</v>
      </c>
      <c r="C11" s="33">
        <v>435437</v>
      </c>
      <c r="D11" s="33">
        <v>281864</v>
      </c>
      <c r="E11" s="33">
        <v>428588</v>
      </c>
      <c r="F11" s="33">
        <v>170110</v>
      </c>
      <c r="G11" s="37">
        <v>159514</v>
      </c>
    </row>
    <row r="12" spans="2:7" x14ac:dyDescent="0.25">
      <c r="B12" s="36" t="s">
        <v>41</v>
      </c>
      <c r="C12" s="33">
        <v>2379113</v>
      </c>
      <c r="D12" s="33">
        <v>2093354</v>
      </c>
      <c r="E12" s="33">
        <v>2833324</v>
      </c>
      <c r="F12" s="33">
        <v>1970720</v>
      </c>
      <c r="G12" s="37">
        <v>1385057</v>
      </c>
    </row>
    <row r="13" spans="2:7" x14ac:dyDescent="0.25">
      <c r="B13" s="36" t="s">
        <v>42</v>
      </c>
      <c r="C13" s="33">
        <v>-25176</v>
      </c>
      <c r="D13" s="33">
        <v>48201</v>
      </c>
      <c r="E13" s="33">
        <v>175652</v>
      </c>
      <c r="F13" s="33">
        <v>118641</v>
      </c>
      <c r="G13" s="37">
        <v>-58936</v>
      </c>
    </row>
    <row r="14" spans="2:7" x14ac:dyDescent="0.25">
      <c r="B14" s="36" t="s">
        <v>43</v>
      </c>
      <c r="C14" s="33">
        <v>291070</v>
      </c>
      <c r="D14" s="33">
        <v>1714254</v>
      </c>
      <c r="E14" s="33">
        <v>-565986</v>
      </c>
      <c r="F14" s="33">
        <v>50627</v>
      </c>
      <c r="G14" s="37">
        <v>807210</v>
      </c>
    </row>
    <row r="15" spans="2:7" x14ac:dyDescent="0.25">
      <c r="B15" s="36" t="s">
        <v>44</v>
      </c>
      <c r="C15" s="33">
        <v>252163</v>
      </c>
      <c r="D15" s="33">
        <v>128865</v>
      </c>
      <c r="E15" s="33">
        <v>250759</v>
      </c>
      <c r="F15" s="33">
        <v>524231</v>
      </c>
      <c r="G15" s="37">
        <v>259780</v>
      </c>
    </row>
    <row r="16" spans="2:7" x14ac:dyDescent="0.25">
      <c r="B16" s="43" t="s">
        <v>45</v>
      </c>
      <c r="C16" s="44">
        <v>8916040</v>
      </c>
      <c r="D16" s="44">
        <v>8351906</v>
      </c>
      <c r="E16" s="44">
        <v>7350648</v>
      </c>
      <c r="F16" s="44">
        <v>6389236</v>
      </c>
      <c r="G16" s="45">
        <v>5639264</v>
      </c>
    </row>
    <row r="17" spans="2:7" x14ac:dyDescent="0.25">
      <c r="B17" s="36"/>
      <c r="C17" s="33"/>
      <c r="D17" s="33"/>
      <c r="E17" s="33"/>
      <c r="F17" s="33"/>
      <c r="G17" s="37"/>
    </row>
    <row r="18" spans="2:7" x14ac:dyDescent="0.25">
      <c r="B18" s="43" t="s">
        <v>46</v>
      </c>
      <c r="C18" s="44">
        <v>34755472</v>
      </c>
      <c r="D18" s="44">
        <v>32899648</v>
      </c>
      <c r="E18" s="44">
        <v>28477182</v>
      </c>
      <c r="F18" s="44">
        <v>22665536</v>
      </c>
      <c r="G18" s="45">
        <v>19574459</v>
      </c>
    </row>
    <row r="19" spans="2:7" x14ac:dyDescent="0.25">
      <c r="B19" s="36"/>
      <c r="C19" s="33"/>
      <c r="D19" s="33"/>
      <c r="E19" s="33"/>
      <c r="F19" s="33"/>
      <c r="G19" s="37"/>
    </row>
    <row r="20" spans="2:7" x14ac:dyDescent="0.25">
      <c r="B20" s="36" t="s">
        <v>47</v>
      </c>
      <c r="C20" s="33"/>
      <c r="D20" s="33"/>
      <c r="E20" s="33"/>
      <c r="F20" s="33"/>
      <c r="G20" s="37"/>
    </row>
    <row r="21" spans="2:7" x14ac:dyDescent="0.25">
      <c r="B21" s="36" t="s">
        <v>48</v>
      </c>
      <c r="C21" s="33">
        <v>20794981</v>
      </c>
      <c r="D21" s="33">
        <v>19569580</v>
      </c>
      <c r="E21" s="33">
        <v>17211009</v>
      </c>
      <c r="F21" s="33">
        <v>14510447</v>
      </c>
      <c r="G21" s="37">
        <v>12607943</v>
      </c>
    </row>
    <row r="22" spans="2:7" x14ac:dyDescent="0.25">
      <c r="B22" s="36" t="s">
        <v>49</v>
      </c>
      <c r="C22" s="33">
        <v>273650</v>
      </c>
      <c r="D22" s="33">
        <v>227031</v>
      </c>
      <c r="E22" s="33">
        <v>232722</v>
      </c>
      <c r="F22" s="33">
        <v>172758</v>
      </c>
      <c r="G22" s="37">
        <v>154382</v>
      </c>
    </row>
    <row r="23" spans="2:7" x14ac:dyDescent="0.25">
      <c r="B23" s="36" t="s">
        <v>50</v>
      </c>
      <c r="C23" s="33">
        <v>7682</v>
      </c>
      <c r="D23" s="33">
        <v>114170</v>
      </c>
      <c r="E23" s="33">
        <v>32707</v>
      </c>
      <c r="F23" s="33">
        <v>90275</v>
      </c>
      <c r="G23" s="37">
        <v>11761</v>
      </c>
    </row>
    <row r="24" spans="2:7" x14ac:dyDescent="0.25">
      <c r="B24" s="46" t="s">
        <v>51</v>
      </c>
      <c r="C24" s="47">
        <v>21076313</v>
      </c>
      <c r="D24" s="47">
        <v>19910781</v>
      </c>
      <c r="E24" s="47">
        <v>17476438</v>
      </c>
      <c r="F24" s="47">
        <v>14773480</v>
      </c>
      <c r="G24" s="48">
        <v>12774086</v>
      </c>
    </row>
    <row r="25" spans="2:7" x14ac:dyDescent="0.25">
      <c r="B25" s="36"/>
      <c r="C25" s="33"/>
      <c r="D25" s="33"/>
      <c r="E25" s="33"/>
      <c r="F25" s="33"/>
      <c r="G25" s="37"/>
    </row>
    <row r="26" spans="2:7" x14ac:dyDescent="0.25">
      <c r="B26" s="36" t="s">
        <v>52</v>
      </c>
      <c r="C26" s="33">
        <v>13737390</v>
      </c>
      <c r="D26" s="33">
        <v>13145037</v>
      </c>
      <c r="E26" s="33">
        <v>11000744</v>
      </c>
      <c r="F26" s="33">
        <v>7892056</v>
      </c>
      <c r="G26" s="37">
        <v>6800373</v>
      </c>
    </row>
    <row r="27" spans="2:7" x14ac:dyDescent="0.25">
      <c r="B27" s="36" t="s">
        <v>53</v>
      </c>
      <c r="C27" s="33">
        <v>44969</v>
      </c>
      <c r="D27" s="33">
        <v>2254301</v>
      </c>
      <c r="E27" s="33">
        <v>842257</v>
      </c>
      <c r="F27" s="33">
        <v>-421992</v>
      </c>
      <c r="G27" s="37">
        <v>-491802</v>
      </c>
    </row>
    <row r="28" spans="2:7" x14ac:dyDescent="0.25">
      <c r="B28" s="36" t="s">
        <v>54</v>
      </c>
      <c r="C28" s="33">
        <v>58231</v>
      </c>
      <c r="D28" s="33">
        <v>156170</v>
      </c>
      <c r="E28" s="33" t="s">
        <v>55</v>
      </c>
      <c r="F28" s="33">
        <v>-11804</v>
      </c>
      <c r="G28" s="37">
        <v>-22863</v>
      </c>
    </row>
    <row r="29" spans="2:7" x14ac:dyDescent="0.25">
      <c r="B29" s="36" t="s">
        <v>56</v>
      </c>
      <c r="C29" s="33" t="s">
        <v>55</v>
      </c>
      <c r="D29" s="33" t="s">
        <v>55</v>
      </c>
      <c r="E29" s="33" t="s">
        <v>55</v>
      </c>
      <c r="F29" s="33" t="s">
        <v>55</v>
      </c>
      <c r="G29" s="37" t="s">
        <v>55</v>
      </c>
    </row>
    <row r="30" spans="2:7" x14ac:dyDescent="0.25">
      <c r="B30" s="36"/>
      <c r="C30" s="33"/>
      <c r="D30" s="33"/>
      <c r="E30" s="33"/>
      <c r="F30" s="33"/>
      <c r="G30" s="37"/>
    </row>
    <row r="31" spans="2:7" x14ac:dyDescent="0.25">
      <c r="B31" s="43" t="s">
        <v>57</v>
      </c>
      <c r="C31" s="44">
        <v>13692421</v>
      </c>
      <c r="D31" s="44">
        <v>10890736</v>
      </c>
      <c r="E31" s="44">
        <v>10158487</v>
      </c>
      <c r="F31" s="44">
        <v>8302244</v>
      </c>
      <c r="G31" s="45">
        <v>7269312</v>
      </c>
    </row>
    <row r="32" spans="2:7" x14ac:dyDescent="0.25">
      <c r="B32" s="36" t="s">
        <v>58</v>
      </c>
      <c r="C32" s="33">
        <v>5339341</v>
      </c>
      <c r="D32" s="33">
        <v>4210115</v>
      </c>
      <c r="E32" s="33">
        <v>4154446</v>
      </c>
      <c r="F32" s="33">
        <v>3416133</v>
      </c>
      <c r="G32" s="37">
        <v>2754526</v>
      </c>
    </row>
    <row r="33" spans="2:7" x14ac:dyDescent="0.25">
      <c r="B33" s="36"/>
      <c r="C33" s="33"/>
      <c r="D33" s="33"/>
      <c r="E33" s="33"/>
      <c r="F33" s="33"/>
      <c r="G33" s="37"/>
    </row>
    <row r="34" spans="2:7" x14ac:dyDescent="0.25">
      <c r="B34" s="43" t="s">
        <v>59</v>
      </c>
      <c r="C34" s="44">
        <v>8353080</v>
      </c>
      <c r="D34" s="44">
        <v>6680621</v>
      </c>
      <c r="E34" s="44">
        <v>6004041</v>
      </c>
      <c r="F34" s="44">
        <v>4886111</v>
      </c>
      <c r="G34" s="45">
        <v>4514786</v>
      </c>
    </row>
    <row r="35" spans="2:7" x14ac:dyDescent="0.25">
      <c r="B35" s="36"/>
      <c r="C35" s="33"/>
      <c r="D35" s="33"/>
      <c r="E35" s="33"/>
      <c r="F35" s="33"/>
      <c r="G35" s="37"/>
    </row>
    <row r="36" spans="2:7" x14ac:dyDescent="0.25">
      <c r="B36" s="36" t="s">
        <v>60</v>
      </c>
      <c r="C36" s="33"/>
      <c r="D36" s="33"/>
      <c r="E36" s="33"/>
      <c r="F36" s="33"/>
      <c r="G36" s="37"/>
    </row>
    <row r="37" spans="2:7" x14ac:dyDescent="0.25">
      <c r="B37" s="36" t="s">
        <v>61</v>
      </c>
      <c r="C37" s="33">
        <v>8353057</v>
      </c>
      <c r="D37" s="33">
        <v>6680617</v>
      </c>
      <c r="E37" s="33">
        <v>6004046</v>
      </c>
      <c r="F37" s="33">
        <v>4886111</v>
      </c>
      <c r="G37" s="37">
        <v>4514786</v>
      </c>
    </row>
    <row r="38" spans="2:7" x14ac:dyDescent="0.25">
      <c r="B38" s="36" t="s">
        <v>27</v>
      </c>
      <c r="C38" s="33">
        <v>23</v>
      </c>
      <c r="D38" s="33">
        <v>4</v>
      </c>
      <c r="E38" s="33">
        <v>-5</v>
      </c>
      <c r="F38" s="33">
        <v>0</v>
      </c>
      <c r="G38" s="37">
        <v>0</v>
      </c>
    </row>
    <row r="39" spans="2:7" x14ac:dyDescent="0.25">
      <c r="B39" s="36"/>
      <c r="C39" s="33">
        <v>8353080</v>
      </c>
      <c r="D39" s="33">
        <v>6680621</v>
      </c>
      <c r="E39" s="33">
        <v>6004041</v>
      </c>
      <c r="F39" s="33">
        <v>4886111</v>
      </c>
      <c r="G39" s="37">
        <v>4514786</v>
      </c>
    </row>
    <row r="40" spans="2:7" ht="15.75" thickBot="1" x14ac:dyDescent="0.3">
      <c r="B40" s="38" t="s">
        <v>62</v>
      </c>
      <c r="C40" s="39">
        <v>5.5</v>
      </c>
      <c r="D40" s="39">
        <v>4.4000000000000004</v>
      </c>
      <c r="E40" s="39">
        <v>3.96</v>
      </c>
      <c r="F40" s="39">
        <v>3.22</v>
      </c>
      <c r="G40" s="40">
        <v>2.97</v>
      </c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zoomScale="88" zoomScaleNormal="88" workbookViewId="0"/>
  </sheetViews>
  <sheetFormatPr defaultRowHeight="15" x14ac:dyDescent="0.25"/>
  <cols>
    <col min="1" max="1" width="9.140625" style="31"/>
    <col min="2" max="2" width="44.5703125" bestFit="1" customWidth="1"/>
    <col min="3" max="7" width="20.28515625" bestFit="1" customWidth="1"/>
  </cols>
  <sheetData>
    <row r="1" spans="1:7" s="31" customFormat="1" x14ac:dyDescent="0.25"/>
    <row r="2" spans="1:7" s="31" customFormat="1" x14ac:dyDescent="0.25">
      <c r="B2" s="88"/>
      <c r="C2" s="88"/>
      <c r="D2" s="88"/>
      <c r="E2" s="88"/>
      <c r="F2" s="88"/>
      <c r="G2" s="88"/>
    </row>
    <row r="3" spans="1:7" s="31" customFormat="1" ht="15.75" thickBot="1" x14ac:dyDescent="0.3">
      <c r="B3" s="89" t="s">
        <v>77</v>
      </c>
      <c r="C3" s="89"/>
      <c r="D3" s="89"/>
      <c r="E3" s="89"/>
      <c r="F3" s="89"/>
      <c r="G3" s="89"/>
    </row>
    <row r="4" spans="1:7" x14ac:dyDescent="0.25">
      <c r="B4" s="85" t="s">
        <v>76</v>
      </c>
      <c r="C4" s="86"/>
      <c r="D4" s="86"/>
      <c r="E4" s="86"/>
      <c r="F4" s="86"/>
      <c r="G4" s="87"/>
    </row>
    <row r="5" spans="1:7" x14ac:dyDescent="0.25">
      <c r="B5" s="70"/>
      <c r="C5" s="71">
        <v>2021</v>
      </c>
      <c r="D5" s="71">
        <v>2020</v>
      </c>
      <c r="E5" s="71">
        <v>2019</v>
      </c>
      <c r="F5" s="71">
        <v>2018</v>
      </c>
      <c r="G5" s="72">
        <v>2017</v>
      </c>
    </row>
    <row r="6" spans="1:7" x14ac:dyDescent="0.25">
      <c r="B6" s="53" t="s">
        <v>71</v>
      </c>
      <c r="C6" s="49">
        <f>IS!C34/BS!C33</f>
        <v>0.12631232836741466</v>
      </c>
      <c r="D6" s="49">
        <f>IS!D34/BS!D33</f>
        <v>0.11094043887511737</v>
      </c>
      <c r="E6" s="49">
        <f>IS!E34/BS!E33</f>
        <v>0.10875818778360442</v>
      </c>
      <c r="F6" s="49">
        <f>IS!F34/BS!F33</f>
        <v>0.11223860180984883</v>
      </c>
      <c r="G6" s="55">
        <f>IS!G34/BS!G33</f>
        <v>0.11507836048053903</v>
      </c>
    </row>
    <row r="7" spans="1:7" hidden="1" x14ac:dyDescent="0.25">
      <c r="B7" s="53" t="s">
        <v>70</v>
      </c>
      <c r="C7" s="50">
        <f>C8/IS!C5</f>
        <v>5.5133523616273641E-10</v>
      </c>
      <c r="D7" s="51">
        <f>D8/IS!D5</f>
        <v>6.1816066935976588E-10</v>
      </c>
      <c r="E7" s="51">
        <f>E8/IS!E5</f>
        <v>5.7435245701400236E-10</v>
      </c>
      <c r="F7" s="51">
        <f>F8/IS!F5</f>
        <v>7.7063735141877752E-10</v>
      </c>
      <c r="G7" s="56">
        <f>G8/IS!G5</f>
        <v>9.7880702643101454E-10</v>
      </c>
    </row>
    <row r="8" spans="1:7" x14ac:dyDescent="0.25">
      <c r="B8" s="53" t="s">
        <v>67</v>
      </c>
      <c r="C8" s="49">
        <f>IS!C7/BS!C15</f>
        <v>2.9701572090031176E-2</v>
      </c>
      <c r="D8" s="49">
        <f>IS!D7/BS!D15</f>
        <v>3.4571158397871185E-2</v>
      </c>
      <c r="E8" s="49">
        <f>IS!E7/BS!E15</f>
        <v>3.3541606265398441E-2</v>
      </c>
      <c r="F8" s="49">
        <f>IS!F7/BS!F15</f>
        <v>2.7127327938631263E-2</v>
      </c>
      <c r="G8" s="55">
        <f>IS!G7/BS!G15</f>
        <v>2.8156479400350709E-2</v>
      </c>
    </row>
    <row r="9" spans="1:7" x14ac:dyDescent="0.25">
      <c r="B9" s="53" t="s">
        <v>73</v>
      </c>
      <c r="C9" s="49">
        <f>(IS!C16-IS!C24)/BS!C15</f>
        <v>-1.397783144551938E-2</v>
      </c>
      <c r="D9" s="49">
        <f>(IS!D16-IS!D24)/BS!D15</f>
        <v>-1.6278633632624672E-2</v>
      </c>
      <c r="E9" s="49">
        <f>(IS!E16-IS!E24)/BS!E15</f>
        <v>-1.6076241436768987E-2</v>
      </c>
      <c r="F9" s="49">
        <f>(IS!F16-IS!F24)/BS!F15</f>
        <v>-1.3973823074378177E-2</v>
      </c>
      <c r="G9" s="55">
        <f>(IS!G16-IS!G24)/BS!G15</f>
        <v>-1.4416120782812746E-2</v>
      </c>
    </row>
    <row r="10" spans="1:7" x14ac:dyDescent="0.25">
      <c r="B10" s="53" t="s">
        <v>68</v>
      </c>
      <c r="C10" s="52">
        <f>(IS!C5/(BS!C8+BS!C9+BS!C10))-(IS!C6/(BS!C19+BS!C20))</f>
        <v>3.4373514058856657E-2</v>
      </c>
      <c r="D10" s="52">
        <f>(IS!D5/(BS!D8+BS!D9+BS!D10))-(IS!D6/(BS!D19+BS!D20))</f>
        <v>4.120138323327973E-2</v>
      </c>
      <c r="E10" s="52">
        <f>(IS!E5/(BS!E8+BS!E9+BS!E10))-(IS!E6/(BS!E19+BS!E20))</f>
        <v>4.3546201829514505E-2</v>
      </c>
      <c r="F10" s="52">
        <f>(IS!F5/(BS!F8+BS!F9+BS!F10))-(IS!F6/(BS!F19+BS!F20))</f>
        <v>3.131061970167643E-2</v>
      </c>
      <c r="G10" s="54">
        <f>(IS!G5/(BS!G8+BS!G9+BS!G10))-(IS!G6/(BS!G19+BS!G20))</f>
        <v>3.3669524016512895E-2</v>
      </c>
    </row>
    <row r="11" spans="1:7" s="31" customFormat="1" x14ac:dyDescent="0.25">
      <c r="B11" s="53" t="s">
        <v>75</v>
      </c>
      <c r="C11" s="49">
        <f>IS!C34/(IS!C5+IS!C16)</f>
        <v>0.13303600953893932</v>
      </c>
      <c r="D11" s="49">
        <f>IS!D34/(IS!D5+IS!D16)</f>
        <v>0.10393364410130584</v>
      </c>
      <c r="E11" s="49">
        <f>IS!E34/(IS!E5+IS!E16)</f>
        <v>9.1316708746236083E-2</v>
      </c>
      <c r="F11" s="49">
        <f>IS!F34/(IS!F5+IS!F16)</f>
        <v>0.11748171663192908</v>
      </c>
      <c r="G11" s="55">
        <f>IS!G34/(IS!G5+IS!G16)</f>
        <v>0.13122324492071488</v>
      </c>
    </row>
    <row r="12" spans="1:7" ht="15.75" thickBot="1" x14ac:dyDescent="0.3"/>
    <row r="13" spans="1:7" x14ac:dyDescent="0.25">
      <c r="A13" s="69"/>
      <c r="B13" s="93" t="s">
        <v>81</v>
      </c>
      <c r="C13" s="94"/>
      <c r="D13" s="94"/>
      <c r="E13" s="94"/>
      <c r="F13" s="94"/>
      <c r="G13" s="95"/>
    </row>
    <row r="14" spans="1:7" x14ac:dyDescent="0.25">
      <c r="B14" s="53" t="s">
        <v>64</v>
      </c>
      <c r="C14" s="49">
        <f>IS!C21/IS!C18</f>
        <v>0.5983225030003908</v>
      </c>
      <c r="D14" s="49">
        <f>IS!D21/IS!D18</f>
        <v>0.59482642489062498</v>
      </c>
      <c r="E14" s="49">
        <f>IS!E21/IS!E18</f>
        <v>0.60437893749458782</v>
      </c>
      <c r="F14" s="49">
        <f>IS!F21/IS!F18</f>
        <v>0.64019871402997042</v>
      </c>
      <c r="G14" s="55">
        <f>IS!G21/IS!G18</f>
        <v>0.64410173481678346</v>
      </c>
    </row>
    <row r="15" spans="1:7" x14ac:dyDescent="0.25">
      <c r="B15" s="53" t="s">
        <v>65</v>
      </c>
      <c r="C15" s="49">
        <f>IS!C34/IS!C31</f>
        <v>0.61005135614804717</v>
      </c>
      <c r="D15" s="49">
        <f>IS!D34/IS!D31</f>
        <v>0.61342236190464994</v>
      </c>
      <c r="E15" s="49">
        <f>IS!E34/IS!E31</f>
        <v>0.59103693296058757</v>
      </c>
      <c r="F15" s="49">
        <f>IS!F34/IS!F31</f>
        <v>0.58852895674952455</v>
      </c>
      <c r="G15" s="55">
        <f>IS!G34/IS!G31</f>
        <v>0.62107473169400351</v>
      </c>
    </row>
    <row r="16" spans="1:7" ht="15.75" thickBot="1" x14ac:dyDescent="0.3">
      <c r="B16" s="57" t="s">
        <v>66</v>
      </c>
      <c r="C16" s="58">
        <f>IS!C18/BS!C15</f>
        <v>3.9950265049597845E-2</v>
      </c>
      <c r="D16" s="58">
        <f>IS!D18/BS!D15</f>
        <v>4.6333342685539299E-2</v>
      </c>
      <c r="E16" s="58">
        <f>IS!E18/BS!E15</f>
        <v>4.5211885025347349E-2</v>
      </c>
      <c r="F16" s="58">
        <f>IS!F18/BS!F15</f>
        <v>3.7776117912354322E-2</v>
      </c>
      <c r="G16" s="59">
        <f>IS!G18/BS!G15</f>
        <v>3.9550778590161886E-2</v>
      </c>
    </row>
    <row r="17" spans="2:7" x14ac:dyDescent="0.25">
      <c r="B17" s="60"/>
      <c r="C17" s="60"/>
      <c r="D17" s="60"/>
      <c r="E17" s="60"/>
      <c r="F17" s="60"/>
      <c r="G17" s="60"/>
    </row>
    <row r="20" spans="2:7" ht="15.75" thickBot="1" x14ac:dyDescent="0.3"/>
    <row r="21" spans="2:7" x14ac:dyDescent="0.25">
      <c r="B21" s="90" t="s">
        <v>80</v>
      </c>
      <c r="C21" s="91"/>
      <c r="D21" s="91"/>
      <c r="E21" s="91"/>
      <c r="F21" s="91"/>
      <c r="G21" s="92"/>
    </row>
    <row r="22" spans="2:7" x14ac:dyDescent="0.25">
      <c r="B22" s="66" t="s">
        <v>74</v>
      </c>
      <c r="C22" s="67">
        <f>(IS!C18-IS!C21)/BS!C15</f>
        <v>1.6047122469593427E-2</v>
      </c>
      <c r="D22" s="67">
        <f>(IS!D18-IS!D21)/BS!D15</f>
        <v>1.8773046102667768E-2</v>
      </c>
      <c r="E22" s="67">
        <f>(IS!E18-IS!E21)/BS!E15</f>
        <v>1.7886773991600456E-2</v>
      </c>
      <c r="F22" s="67">
        <f>(IS!F18-IS!F21)/BS!F15</f>
        <v>1.3591895803820553E-2</v>
      </c>
      <c r="G22" s="68">
        <f>(IS!G18-IS!G21)/BS!G15</f>
        <v>1.4076053486884118E-2</v>
      </c>
    </row>
    <row r="23" spans="2:7" x14ac:dyDescent="0.25">
      <c r="B23" s="53" t="s">
        <v>72</v>
      </c>
      <c r="C23" s="49">
        <f>IS!C34/BS!C15</f>
        <v>9.60158906719767E-3</v>
      </c>
      <c r="D23" s="49">
        <f>IS!D34/BS!D15</f>
        <v>9.4084745874852601E-3</v>
      </c>
      <c r="E23" s="49">
        <f>IS!E34/BS!E15</f>
        <v>9.5323340413202232E-3</v>
      </c>
      <c r="F23" s="49">
        <f>IS!F34/BS!F15</f>
        <v>8.1435667468376435E-3</v>
      </c>
      <c r="G23" s="55">
        <f>IS!G34/BS!G15</f>
        <v>9.1222598523904349E-3</v>
      </c>
    </row>
    <row r="24" spans="2:7" x14ac:dyDescent="0.25">
      <c r="B24" s="53" t="s">
        <v>69</v>
      </c>
      <c r="C24" s="52">
        <f>IS!C18/BS!C15</f>
        <v>3.9950265049597845E-2</v>
      </c>
      <c r="D24" s="52">
        <f>IS!D18/BS!D15</f>
        <v>4.6333342685539299E-2</v>
      </c>
      <c r="E24" s="52">
        <f>IS!E18/BS!E15</f>
        <v>4.5211885025347349E-2</v>
      </c>
      <c r="F24" s="52">
        <f>IS!F18/BS!F15</f>
        <v>3.7776117912354322E-2</v>
      </c>
      <c r="G24" s="54">
        <f>IS!G18/BS!G15</f>
        <v>3.9550778590161886E-2</v>
      </c>
    </row>
    <row r="25" spans="2:7" hidden="1" x14ac:dyDescent="0.25">
      <c r="B25" s="61" t="s">
        <v>78</v>
      </c>
      <c r="C25" s="62">
        <f>BS!C25/BS!C15</f>
        <v>0.9239852933708993</v>
      </c>
      <c r="D25" s="62">
        <f>BS!D25/BS!D15</f>
        <v>0.91519344049399076</v>
      </c>
      <c r="E25" s="62">
        <f>BS!E25/BS!E15</f>
        <v>0.91235293512190896</v>
      </c>
      <c r="F25" s="62">
        <f>BS!F25/BS!F15</f>
        <v>0.92744414532211061</v>
      </c>
      <c r="G25" s="63">
        <f>BS!G25/BS!G15</f>
        <v>0.92073001549293787</v>
      </c>
    </row>
    <row r="26" spans="2:7" x14ac:dyDescent="0.25">
      <c r="B26" s="53" t="s">
        <v>63</v>
      </c>
      <c r="C26" s="52">
        <f>BS!C15/BS!C33</f>
        <v>13.15535662726298</v>
      </c>
      <c r="D26" s="52">
        <f>BS!D15/BS!D33</f>
        <v>11.79154366029595</v>
      </c>
      <c r="E26" s="52">
        <f>BS!E15/BS!E33</f>
        <v>11.409397458394299</v>
      </c>
      <c r="F26" s="52">
        <f>BS!F15/BS!F33</f>
        <v>13.78248687572113</v>
      </c>
      <c r="G26" s="54">
        <f>BS!G15/BS!G33</f>
        <v>12.615115370823757</v>
      </c>
    </row>
    <row r="27" spans="2:7" hidden="1" x14ac:dyDescent="0.25">
      <c r="B27" s="64" t="s">
        <v>79</v>
      </c>
      <c r="C27" s="60">
        <f>C25/C26</f>
        <v>7.023643064575269E-2</v>
      </c>
      <c r="D27" s="60">
        <f t="shared" ref="D27:G27" si="0">D25/D26</f>
        <v>7.7614387637438539E-2</v>
      </c>
      <c r="E27" s="60">
        <f t="shared" si="0"/>
        <v>7.9965040962847567E-2</v>
      </c>
      <c r="F27" s="60">
        <f t="shared" si="0"/>
        <v>6.7291494901103227E-2</v>
      </c>
      <c r="G27" s="65">
        <f t="shared" si="0"/>
        <v>7.2986254063312217E-2</v>
      </c>
    </row>
    <row r="28" spans="2:7" x14ac:dyDescent="0.25">
      <c r="B28" s="73" t="s">
        <v>71</v>
      </c>
      <c r="C28" s="49">
        <f>C23*C26</f>
        <v>0.12631232836741466</v>
      </c>
      <c r="D28" s="49">
        <f>D23*D26</f>
        <v>0.11094043887511737</v>
      </c>
      <c r="E28" s="49">
        <f>E23*E26</f>
        <v>0.10875818778360441</v>
      </c>
      <c r="F28" s="49">
        <f>F23*F26</f>
        <v>0.11223860180984883</v>
      </c>
      <c r="G28" s="49">
        <f>G23*G26</f>
        <v>0.11507836048053903</v>
      </c>
    </row>
  </sheetData>
  <mergeCells count="5">
    <mergeCell ref="B4:G4"/>
    <mergeCell ref="B2:G2"/>
    <mergeCell ref="B3:G3"/>
    <mergeCell ref="B21:G21"/>
    <mergeCell ref="B13:G1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54"/>
  <sheetViews>
    <sheetView workbookViewId="0"/>
  </sheetViews>
  <sheetFormatPr defaultRowHeight="15" x14ac:dyDescent="0.25"/>
  <cols>
    <col min="2" max="2" width="50.42578125" style="75" bestFit="1" customWidth="1"/>
    <col min="3" max="4" width="9.5703125" bestFit="1" customWidth="1"/>
    <col min="5" max="7" width="9.28515625" bestFit="1" customWidth="1"/>
    <col min="10" max="10" width="14.28515625" bestFit="1" customWidth="1"/>
    <col min="11" max="11" width="54.28515625" bestFit="1" customWidth="1"/>
    <col min="12" max="12" width="15.28515625" style="31" bestFit="1" customWidth="1"/>
    <col min="13" max="17" width="15.28515625" bestFit="1" customWidth="1"/>
  </cols>
  <sheetData>
    <row r="1" spans="2:16" ht="15.75" thickBot="1" x14ac:dyDescent="0.3"/>
    <row r="2" spans="2:16" x14ac:dyDescent="0.25">
      <c r="B2" s="102" t="s">
        <v>97</v>
      </c>
      <c r="C2" s="103"/>
      <c r="D2" s="103"/>
      <c r="E2" s="103"/>
      <c r="F2" s="103"/>
      <c r="G2" s="104"/>
    </row>
    <row r="3" spans="2:16" x14ac:dyDescent="0.25">
      <c r="B3" s="46"/>
      <c r="C3" s="71">
        <v>2021</v>
      </c>
      <c r="D3" s="71">
        <v>2020</v>
      </c>
      <c r="E3" s="71">
        <v>2019</v>
      </c>
      <c r="F3" s="71">
        <v>2018</v>
      </c>
      <c r="G3" s="72">
        <v>2017</v>
      </c>
      <c r="K3" s="99"/>
      <c r="L3" s="97">
        <v>2021</v>
      </c>
      <c r="M3" s="97">
        <f>L3-1</f>
        <v>2020</v>
      </c>
      <c r="N3" s="97">
        <f t="shared" ref="N3:P3" si="0">M3-1</f>
        <v>2019</v>
      </c>
      <c r="O3" s="97">
        <f t="shared" si="0"/>
        <v>2018</v>
      </c>
      <c r="P3" s="97">
        <f t="shared" si="0"/>
        <v>2017</v>
      </c>
    </row>
    <row r="4" spans="2:16" x14ac:dyDescent="0.25">
      <c r="B4" s="53" t="s">
        <v>82</v>
      </c>
      <c r="C4" s="49">
        <f>L5/BS!C10</f>
        <v>4.8036375959403736E-2</v>
      </c>
      <c r="D4" s="49">
        <f>M5/BS!D10</f>
        <v>7.0421052836031325E-2</v>
      </c>
      <c r="E4" s="49">
        <f>N5/BS!E10</f>
        <v>9.2957579679380439E-2</v>
      </c>
      <c r="F4" s="49">
        <f>O5/BS!F10</f>
        <v>8.673473681839268E-2</v>
      </c>
      <c r="G4" s="55">
        <f>P5/BS!G10</f>
        <v>0.11414060578020781</v>
      </c>
      <c r="J4" t="s">
        <v>85</v>
      </c>
      <c r="K4" s="99" t="s">
        <v>86</v>
      </c>
      <c r="L4" s="32">
        <v>61512908</v>
      </c>
      <c r="M4" s="32">
        <v>141824644</v>
      </c>
      <c r="N4" s="32">
        <v>211337634</v>
      </c>
      <c r="O4" s="32">
        <v>235798986</v>
      </c>
      <c r="P4" s="32">
        <v>203609174</v>
      </c>
    </row>
    <row r="5" spans="2:16" x14ac:dyDescent="0.25">
      <c r="B5" s="53" t="s">
        <v>83</v>
      </c>
      <c r="C5" s="49">
        <f>IS!C27/BS!C10</f>
        <v>1.1347344509169401E-4</v>
      </c>
      <c r="D5" s="49">
        <f>IS!D27/BS!D10</f>
        <v>7.0849892022398723E-3</v>
      </c>
      <c r="E5" s="49">
        <f>IS!E27/BS!E10</f>
        <v>2.7207055995147793E-3</v>
      </c>
      <c r="F5" s="49">
        <f>IS!F27/BS!F10</f>
        <v>-1.4235092441018905E-3</v>
      </c>
      <c r="G5" s="55">
        <f>IS!G27/BS!G10</f>
        <v>-2.1241196039461646E-3</v>
      </c>
      <c r="J5" s="31" t="s">
        <v>85</v>
      </c>
      <c r="K5" s="99" t="s">
        <v>88</v>
      </c>
      <c r="L5" s="111">
        <v>19036593</v>
      </c>
      <c r="M5" s="32">
        <v>22406562</v>
      </c>
      <c r="N5" s="32">
        <v>28777157</v>
      </c>
      <c r="O5" s="32">
        <v>25712067</v>
      </c>
      <c r="P5" s="32">
        <v>26427221</v>
      </c>
    </row>
    <row r="6" spans="2:16" x14ac:dyDescent="0.25">
      <c r="B6" s="53" t="s">
        <v>84</v>
      </c>
      <c r="C6" s="49">
        <f>L6/BS!C10</f>
        <v>5.1704150400831587E-2</v>
      </c>
      <c r="D6" s="49">
        <f>M6/BS!D10</f>
        <v>6.777740985870892E-2</v>
      </c>
      <c r="E6" s="49">
        <f>N6/BS!E10</f>
        <v>7.8293891403359517E-2</v>
      </c>
      <c r="F6" s="49">
        <f>O6/BS!F10</f>
        <v>7.8042374969691242E-2</v>
      </c>
      <c r="G6" s="55">
        <f>P6/BS!G10</f>
        <v>0.10247561721015344</v>
      </c>
      <c r="J6" t="s">
        <v>85</v>
      </c>
      <c r="K6" s="99" t="s">
        <v>87</v>
      </c>
      <c r="L6" s="32">
        <v>20490115</v>
      </c>
      <c r="M6" s="32">
        <v>21565408</v>
      </c>
      <c r="N6" s="32">
        <v>24237675</v>
      </c>
      <c r="O6" s="32">
        <v>23135261</v>
      </c>
      <c r="P6" s="32">
        <v>23726401</v>
      </c>
    </row>
    <row r="7" spans="2:16" x14ac:dyDescent="0.25">
      <c r="B7" s="53" t="s">
        <v>89</v>
      </c>
      <c r="C7" s="98">
        <f>L6/BS!C33</f>
        <v>0.3098442890725443</v>
      </c>
      <c r="D7" s="98">
        <f>M6/BS!D33</f>
        <v>0.3581217716198789</v>
      </c>
      <c r="E7" s="98">
        <f>N6/BS!E33</f>
        <v>0.43904523788028332</v>
      </c>
      <c r="F7" s="98">
        <f>O6/BS!F33</f>
        <v>0.53143887790226729</v>
      </c>
      <c r="G7" s="100">
        <f>P6/BS!G33</f>
        <v>0.60476738591459744</v>
      </c>
      <c r="L7"/>
    </row>
    <row r="8" spans="2:16" hidden="1" x14ac:dyDescent="0.25">
      <c r="B8" s="53" t="s">
        <v>90</v>
      </c>
      <c r="C8" s="99"/>
      <c r="D8" s="99"/>
      <c r="E8" s="99"/>
      <c r="F8" s="99"/>
      <c r="G8" s="101"/>
      <c r="L8"/>
    </row>
    <row r="9" spans="2:16" hidden="1" x14ac:dyDescent="0.25">
      <c r="B9" s="53" t="s">
        <v>91</v>
      </c>
      <c r="C9" s="99"/>
      <c r="D9" s="99"/>
      <c r="E9" s="99"/>
      <c r="F9" s="99"/>
      <c r="G9" s="101"/>
      <c r="L9"/>
    </row>
    <row r="10" spans="2:16" ht="15.75" thickBot="1" x14ac:dyDescent="0.3">
      <c r="B10" s="57" t="s">
        <v>92</v>
      </c>
      <c r="C10" s="58">
        <f>L5/BS!C33</f>
        <v>0.28786464226522757</v>
      </c>
      <c r="D10" s="58">
        <f>M5/BS!D33</f>
        <v>0.37209023262396229</v>
      </c>
      <c r="E10" s="58">
        <f>N5/BS!E33</f>
        <v>0.5212741626654892</v>
      </c>
      <c r="F10" s="58">
        <f>O5/BS!F33</f>
        <v>0.59063055459058433</v>
      </c>
      <c r="G10" s="59">
        <f>P5/BS!G33</f>
        <v>0.67360917322257829</v>
      </c>
      <c r="L10"/>
    </row>
    <row r="11" spans="2:16" x14ac:dyDescent="0.25">
      <c r="L11" s="76"/>
      <c r="M11" s="76"/>
      <c r="N11" s="76"/>
      <c r="O11" s="76"/>
      <c r="P11" s="76"/>
    </row>
    <row r="12" spans="2:16" ht="15.75" thickBot="1" x14ac:dyDescent="0.3">
      <c r="L12"/>
    </row>
    <row r="13" spans="2:16" x14ac:dyDescent="0.25">
      <c r="B13" s="102" t="s">
        <v>98</v>
      </c>
      <c r="C13" s="103"/>
      <c r="D13" s="103"/>
      <c r="E13" s="103"/>
      <c r="F13" s="103"/>
      <c r="G13" s="104"/>
      <c r="K13" s="99"/>
      <c r="L13" s="73">
        <v>2021</v>
      </c>
      <c r="M13" s="73">
        <f>L13-1</f>
        <v>2020</v>
      </c>
      <c r="N13" s="73">
        <f t="shared" ref="N13:P13" si="1">M13-1</f>
        <v>2019</v>
      </c>
      <c r="O13" s="73">
        <f t="shared" si="1"/>
        <v>2018</v>
      </c>
      <c r="P13" s="73">
        <f t="shared" si="1"/>
        <v>2017</v>
      </c>
    </row>
    <row r="14" spans="2:16" x14ac:dyDescent="0.25">
      <c r="B14" s="107"/>
      <c r="C14" s="108">
        <v>2021</v>
      </c>
      <c r="D14" s="108">
        <v>2020</v>
      </c>
      <c r="E14" s="108">
        <v>2019</v>
      </c>
      <c r="F14" s="108">
        <v>2018</v>
      </c>
      <c r="G14" s="109">
        <v>2017</v>
      </c>
      <c r="K14" s="99" t="s">
        <v>96</v>
      </c>
      <c r="L14" s="99">
        <v>7093</v>
      </c>
      <c r="M14" s="99">
        <v>6767</v>
      </c>
      <c r="N14" s="99">
        <v>6916</v>
      </c>
      <c r="O14" s="99">
        <v>6118</v>
      </c>
      <c r="P14" s="99">
        <v>3592</v>
      </c>
    </row>
    <row r="15" spans="2:16" x14ac:dyDescent="0.25">
      <c r="B15" s="12" t="s">
        <v>93</v>
      </c>
      <c r="C15" s="96">
        <f>C23/C21</f>
        <v>0.5983225030003908</v>
      </c>
      <c r="D15" s="96">
        <f>D23/D21</f>
        <v>0.59482642489062498</v>
      </c>
      <c r="E15" s="96">
        <f>E23/E21</f>
        <v>0.60437893749458782</v>
      </c>
      <c r="F15" s="96">
        <f>F23/F21</f>
        <v>0.64019871402997042</v>
      </c>
      <c r="G15" s="105">
        <f>G23/G21</f>
        <v>0.64410173481678346</v>
      </c>
      <c r="K15" s="99" t="s">
        <v>95</v>
      </c>
      <c r="L15" s="133">
        <f>C21-C23</f>
        <v>13960491</v>
      </c>
      <c r="M15" s="133">
        <f>D21-D23</f>
        <v>13330068</v>
      </c>
      <c r="N15" s="133">
        <f>E21-E23</f>
        <v>11266173</v>
      </c>
      <c r="O15" s="133">
        <f>F21-F23</f>
        <v>8155089</v>
      </c>
      <c r="P15" s="133">
        <f>G21-G23</f>
        <v>6966516</v>
      </c>
    </row>
    <row r="16" spans="2:16" ht="15.75" thickBot="1" x14ac:dyDescent="0.3">
      <c r="B16" s="106" t="s">
        <v>94</v>
      </c>
      <c r="C16" s="131">
        <f>L15/L14</f>
        <v>1968.2068236289299</v>
      </c>
      <c r="D16" s="131">
        <f>M15/M14</f>
        <v>1969.8637505541599</v>
      </c>
      <c r="E16" s="131">
        <f>N15/N14</f>
        <v>1629.0013013302487</v>
      </c>
      <c r="F16" s="131">
        <f>O15/O14</f>
        <v>1332.9664923177509</v>
      </c>
      <c r="G16" s="132">
        <f>P15/P14</f>
        <v>1939.4532293986638</v>
      </c>
    </row>
    <row r="17" spans="2:17" x14ac:dyDescent="0.25">
      <c r="B17" s="31"/>
      <c r="C17" s="31"/>
      <c r="D17" s="31"/>
      <c r="E17" s="31"/>
      <c r="F17" s="31"/>
    </row>
    <row r="18" spans="2:17" x14ac:dyDescent="0.25">
      <c r="G18" s="31"/>
    </row>
    <row r="20" spans="2:17" ht="15.75" thickBot="1" x14ac:dyDescent="0.3">
      <c r="B20" s="31"/>
      <c r="C20" s="31"/>
      <c r="D20" s="31"/>
      <c r="E20" s="31"/>
      <c r="F20" s="31"/>
    </row>
    <row r="21" spans="2:17" hidden="1" x14ac:dyDescent="0.25">
      <c r="B21" s="43" t="s">
        <v>46</v>
      </c>
      <c r="C21" s="77">
        <v>34755472</v>
      </c>
      <c r="D21" s="77">
        <v>32899648</v>
      </c>
      <c r="E21" s="77">
        <v>28477182</v>
      </c>
      <c r="F21" s="77">
        <v>22665536</v>
      </c>
      <c r="G21" s="78">
        <v>19574459</v>
      </c>
    </row>
    <row r="22" spans="2:17" hidden="1" x14ac:dyDescent="0.25">
      <c r="B22" s="31"/>
      <c r="C22" s="31"/>
      <c r="D22" s="31"/>
      <c r="E22" s="31"/>
      <c r="F22" s="31"/>
      <c r="G22" s="31"/>
    </row>
    <row r="23" spans="2:17" hidden="1" x14ac:dyDescent="0.25">
      <c r="B23" s="114" t="s">
        <v>48</v>
      </c>
      <c r="C23" s="115">
        <v>20794981</v>
      </c>
      <c r="D23" s="115">
        <v>19569580</v>
      </c>
      <c r="E23" s="115">
        <v>17211009</v>
      </c>
      <c r="F23" s="115">
        <v>14510447</v>
      </c>
      <c r="G23" s="116">
        <v>12607943</v>
      </c>
    </row>
    <row r="24" spans="2:17" x14ac:dyDescent="0.25">
      <c r="B24" s="117" t="s">
        <v>110</v>
      </c>
      <c r="C24" s="118"/>
      <c r="D24" s="118"/>
      <c r="E24" s="118"/>
      <c r="F24" s="118"/>
      <c r="G24" s="119"/>
    </row>
    <row r="25" spans="2:17" x14ac:dyDescent="0.25">
      <c r="B25" s="46"/>
      <c r="C25" s="71">
        <v>2017</v>
      </c>
      <c r="D25" s="71">
        <v>2018</v>
      </c>
      <c r="E25" s="71">
        <v>2019</v>
      </c>
      <c r="F25" s="71">
        <v>2020</v>
      </c>
      <c r="G25" s="72">
        <v>2021</v>
      </c>
      <c r="H25" s="31"/>
      <c r="J25" s="31"/>
      <c r="K25" s="73"/>
      <c r="L25" s="73">
        <v>2021</v>
      </c>
      <c r="M25" s="73">
        <f>L25-1</f>
        <v>2020</v>
      </c>
      <c r="N25" s="73">
        <f t="shared" ref="N25:P25" si="2">M25-1</f>
        <v>2019</v>
      </c>
      <c r="O25" s="73">
        <f t="shared" si="2"/>
        <v>2018</v>
      </c>
      <c r="P25" s="73">
        <f t="shared" si="2"/>
        <v>2017</v>
      </c>
      <c r="Q25" s="123"/>
    </row>
    <row r="26" spans="2:17" x14ac:dyDescent="0.25">
      <c r="B26" s="53" t="s">
        <v>99</v>
      </c>
      <c r="C26" s="52">
        <f>P26/P27</f>
        <v>7.2080536912751683</v>
      </c>
      <c r="D26" s="52">
        <f>O26/O27</f>
        <v>7.5454545454545459</v>
      </c>
      <c r="E26" s="52">
        <f>N26/N27</f>
        <v>4.7788944723618085</v>
      </c>
      <c r="F26" s="52">
        <f>M26/M27</f>
        <v>4.0279720279720284</v>
      </c>
      <c r="G26" s="54">
        <f>L26/L27</f>
        <v>4.2830540037243949</v>
      </c>
      <c r="H26" s="31"/>
      <c r="J26" s="31"/>
      <c r="K26" s="73" t="s">
        <v>100</v>
      </c>
      <c r="L26" s="124">
        <v>23</v>
      </c>
      <c r="M26" s="124">
        <v>17.28</v>
      </c>
      <c r="N26" s="124">
        <v>19.02</v>
      </c>
      <c r="O26" s="124">
        <v>24.07</v>
      </c>
      <c r="P26" s="124">
        <v>21.48</v>
      </c>
    </row>
    <row r="27" spans="2:17" x14ac:dyDescent="0.25">
      <c r="B27" s="53" t="s">
        <v>101</v>
      </c>
      <c r="C27" s="52">
        <f>BS!C33/BS!C15</f>
        <v>7.6014662949358117E-2</v>
      </c>
      <c r="D27" s="52">
        <f>BS!D33/BS!D15</f>
        <v>8.4806538381158952E-2</v>
      </c>
      <c r="E27" s="52">
        <f>BS!E33/BS!E15</f>
        <v>8.7647047413907428E-2</v>
      </c>
      <c r="F27" s="52">
        <f>BS!F33/BS!F15</f>
        <v>7.2555846344506514E-2</v>
      </c>
      <c r="G27" s="54">
        <f>BS!G33/BS!G15</f>
        <v>7.9269984507062088E-2</v>
      </c>
      <c r="H27" s="31"/>
      <c r="J27" s="31"/>
      <c r="K27" s="73" t="s">
        <v>102</v>
      </c>
      <c r="L27" s="124">
        <v>5.37</v>
      </c>
      <c r="M27" s="124">
        <v>4.29</v>
      </c>
      <c r="N27" s="124">
        <v>3.98</v>
      </c>
      <c r="O27" s="124">
        <v>3.19</v>
      </c>
      <c r="P27" s="124">
        <v>2.98</v>
      </c>
    </row>
    <row r="28" spans="2:17" x14ac:dyDescent="0.25">
      <c r="B28" s="53" t="s">
        <v>103</v>
      </c>
      <c r="C28" s="110">
        <f>P29/BS!C25</f>
        <v>5.5638262509021472E-2</v>
      </c>
      <c r="D28" s="110">
        <f>O29/BS!D25</f>
        <v>6.7428484990523146E-2</v>
      </c>
      <c r="E28" s="110">
        <f>N29/BS!E25</f>
        <v>0.13545283281621098</v>
      </c>
      <c r="F28" s="110">
        <f>M29/BS!F25</f>
        <v>9.4179322150621581E-2</v>
      </c>
      <c r="G28" s="120">
        <f>L29/BS!G25</f>
        <v>0.21207976225597383</v>
      </c>
      <c r="H28" s="31"/>
      <c r="J28" s="31"/>
      <c r="K28" s="73" t="s">
        <v>104</v>
      </c>
      <c r="L28" s="124"/>
      <c r="M28" s="124"/>
      <c r="N28" s="124"/>
      <c r="O28" s="124"/>
      <c r="P28" s="124"/>
    </row>
    <row r="29" spans="2:17" ht="15.75" thickBot="1" x14ac:dyDescent="0.3">
      <c r="B29" s="57" t="s">
        <v>105</v>
      </c>
      <c r="C29" s="121">
        <f>BS!C33/'Risk Ratios'!P34</f>
        <v>8.7759041262366069E-2</v>
      </c>
      <c r="D29" s="121">
        <f>BS!D33/'Risk Ratios'!O34</f>
        <v>0.10076069344447137</v>
      </c>
      <c r="E29" s="121">
        <f>BS!E33/'Risk Ratios'!N34</f>
        <v>0.10757781226923645</v>
      </c>
      <c r="F29" s="121">
        <f>BS!F33/'Risk Ratios'!M34</f>
        <v>8.4817452971764795E-2</v>
      </c>
      <c r="G29" s="122">
        <f>BS!G33/'Risk Ratios'!L34</f>
        <v>9.3354867526550991E-2</v>
      </c>
      <c r="H29" s="31"/>
      <c r="J29" s="31" t="s">
        <v>106</v>
      </c>
      <c r="K29" s="124" t="s">
        <v>107</v>
      </c>
      <c r="L29" s="125">
        <v>96642078</v>
      </c>
      <c r="M29" s="125">
        <v>52407325</v>
      </c>
      <c r="N29" s="113">
        <v>77838662</v>
      </c>
      <c r="O29" s="113">
        <v>43818138</v>
      </c>
      <c r="P29" s="125">
        <v>44724155</v>
      </c>
    </row>
    <row r="30" spans="2:17" x14ac:dyDescent="0.25">
      <c r="B30" s="31"/>
      <c r="C30" s="31"/>
      <c r="D30" s="31"/>
      <c r="E30" s="31"/>
      <c r="F30" s="31"/>
      <c r="G30" s="31"/>
      <c r="H30" s="31"/>
      <c r="J30" s="31"/>
      <c r="K30" s="73" t="s">
        <v>108</v>
      </c>
      <c r="L30" s="125"/>
      <c r="M30" s="125"/>
      <c r="N30" s="124"/>
      <c r="O30" s="124"/>
      <c r="P30" s="124"/>
    </row>
    <row r="31" spans="2:17" x14ac:dyDescent="0.25">
      <c r="B31" s="31"/>
      <c r="C31" s="31"/>
      <c r="D31" s="31"/>
      <c r="E31" s="31"/>
      <c r="F31" s="31"/>
      <c r="G31" s="31"/>
      <c r="H31" s="31"/>
      <c r="J31" s="31"/>
      <c r="K31" s="126" t="s">
        <v>5</v>
      </c>
      <c r="L31" s="113">
        <v>9010335</v>
      </c>
      <c r="M31" s="113">
        <v>2997486</v>
      </c>
      <c r="N31" s="113">
        <v>0</v>
      </c>
      <c r="O31" s="113">
        <v>2985000</v>
      </c>
      <c r="P31" s="112">
        <v>0</v>
      </c>
    </row>
    <row r="32" spans="2:17" ht="15.75" thickBot="1" x14ac:dyDescent="0.3">
      <c r="H32" s="31"/>
      <c r="J32" s="31"/>
      <c r="K32" s="126" t="s">
        <v>6</v>
      </c>
      <c r="L32" s="113">
        <v>179706358</v>
      </c>
      <c r="M32" s="113">
        <v>213815803</v>
      </c>
      <c r="N32" s="113">
        <v>203594303</v>
      </c>
      <c r="O32" s="113">
        <v>276469824</v>
      </c>
      <c r="P32" s="112">
        <v>357249356</v>
      </c>
    </row>
    <row r="33" spans="2:16" x14ac:dyDescent="0.25">
      <c r="B33" s="102" t="s">
        <v>115</v>
      </c>
      <c r="C33" s="103"/>
      <c r="D33" s="103"/>
      <c r="E33" s="103"/>
      <c r="F33" s="103"/>
      <c r="G33" s="104"/>
      <c r="H33" s="31"/>
      <c r="J33" s="31"/>
      <c r="K33" s="126" t="s">
        <v>7</v>
      </c>
      <c r="L33" s="113">
        <v>231532160</v>
      </c>
      <c r="M33" s="113">
        <v>296444861</v>
      </c>
      <c r="N33" s="113">
        <v>309573002</v>
      </c>
      <c r="O33" s="113">
        <v>318179878</v>
      </c>
      <c r="P33" s="112">
        <v>396295362</v>
      </c>
    </row>
    <row r="34" spans="2:16" x14ac:dyDescent="0.25">
      <c r="B34" s="46"/>
      <c r="C34" s="71">
        <v>2021</v>
      </c>
      <c r="D34" s="71">
        <f>C34-1</f>
        <v>2020</v>
      </c>
      <c r="E34" s="71">
        <f t="shared" ref="E34:G34" si="3">D34-1</f>
        <v>2019</v>
      </c>
      <c r="F34" s="71">
        <f t="shared" si="3"/>
        <v>2018</v>
      </c>
      <c r="G34" s="72">
        <f t="shared" si="3"/>
        <v>2017</v>
      </c>
      <c r="H34" s="31"/>
      <c r="J34" s="31"/>
      <c r="K34" s="126" t="s">
        <v>109</v>
      </c>
      <c r="L34" s="127">
        <f>SUM(L31:L33)</f>
        <v>420248853</v>
      </c>
      <c r="M34" s="127">
        <f>SUM(M31:M33)</f>
        <v>513258150</v>
      </c>
      <c r="N34" s="127">
        <f>SUM(N31:N33)</f>
        <v>513167305</v>
      </c>
      <c r="O34" s="127">
        <f>SUM(O31:O33)</f>
        <v>597634702</v>
      </c>
      <c r="P34" s="127">
        <f>SUM(P31:P33)</f>
        <v>753544718</v>
      </c>
    </row>
    <row r="35" spans="2:16" x14ac:dyDescent="0.25">
      <c r="B35" s="128" t="s">
        <v>114</v>
      </c>
      <c r="C35" s="52">
        <f>(BS!C8+BS!C10)/'Risk Ratios'!L40</f>
        <v>0.91509710301828162</v>
      </c>
      <c r="D35" s="52">
        <f>(BS!D8+BS!D10)/'Risk Ratios'!M40</f>
        <v>0.85732760314973144</v>
      </c>
      <c r="E35" s="52">
        <f>(BS!E8+BS!E10)/'Risk Ratios'!N40</f>
        <v>0.96125664066657812</v>
      </c>
      <c r="F35" s="52">
        <f>(BS!F8+BS!F10)/'Risk Ratios'!O40</f>
        <v>1.0646005152542204</v>
      </c>
      <c r="G35" s="52">
        <f>(BS!G8+BS!G10)/'Risk Ratios'!P40</f>
        <v>0.95932680013858607</v>
      </c>
    </row>
    <row r="36" spans="2:16" ht="15.75" thickBot="1" x14ac:dyDescent="0.3">
      <c r="B36" s="57" t="s">
        <v>116</v>
      </c>
      <c r="C36" s="129"/>
      <c r="D36" s="129"/>
      <c r="E36" s="129"/>
      <c r="F36" s="129"/>
      <c r="G36" s="130"/>
    </row>
    <row r="37" spans="2:16" x14ac:dyDescent="0.25">
      <c r="K37" s="126" t="s">
        <v>15</v>
      </c>
      <c r="L37" s="4">
        <v>644039999</v>
      </c>
      <c r="M37" s="33">
        <v>540632217</v>
      </c>
      <c r="N37" s="33">
        <v>457785183</v>
      </c>
      <c r="O37" s="33">
        <v>409383501</v>
      </c>
      <c r="P37" s="33">
        <v>371624155</v>
      </c>
    </row>
    <row r="38" spans="2:16" ht="15.75" thickBot="1" x14ac:dyDescent="0.3">
      <c r="K38" s="126" t="s">
        <v>111</v>
      </c>
      <c r="L38" s="32">
        <v>209205907</v>
      </c>
      <c r="M38" s="32">
        <v>165157864</v>
      </c>
      <c r="N38" s="32">
        <v>134559298</v>
      </c>
      <c r="O38" s="32">
        <v>126932482</v>
      </c>
      <c r="P38" s="32">
        <v>120326105</v>
      </c>
    </row>
    <row r="39" spans="2:16" s="31" customFormat="1" x14ac:dyDescent="0.25">
      <c r="B39" s="102" t="s">
        <v>117</v>
      </c>
      <c r="C39" s="103"/>
      <c r="D39" s="103"/>
      <c r="E39" s="103"/>
      <c r="F39" s="103"/>
      <c r="G39" s="104"/>
      <c r="K39" s="126" t="s">
        <v>112</v>
      </c>
      <c r="L39" s="32">
        <v>1770365</v>
      </c>
      <c r="M39" s="32">
        <v>862738</v>
      </c>
      <c r="N39" s="33">
        <v>1175572</v>
      </c>
      <c r="O39" s="32">
        <v>1178990</v>
      </c>
      <c r="P39" s="32">
        <v>557119</v>
      </c>
    </row>
    <row r="40" spans="2:16" x14ac:dyDescent="0.25">
      <c r="B40" s="46"/>
      <c r="C40" s="71">
        <v>2021</v>
      </c>
      <c r="D40" s="71">
        <v>2020</v>
      </c>
      <c r="E40" s="71">
        <v>2019</v>
      </c>
      <c r="F40" s="71">
        <v>2018</v>
      </c>
      <c r="G40" s="72">
        <v>2017</v>
      </c>
      <c r="K40" s="126" t="s">
        <v>113</v>
      </c>
      <c r="L40" s="134">
        <f>L37-L38-L39</f>
        <v>433063727</v>
      </c>
      <c r="M40" s="134">
        <f t="shared" ref="M40:P40" si="4">M37-M38-M39</f>
        <v>374611615</v>
      </c>
      <c r="N40" s="134">
        <f t="shared" si="4"/>
        <v>322050313</v>
      </c>
      <c r="O40" s="134">
        <f t="shared" si="4"/>
        <v>281272029</v>
      </c>
      <c r="P40" s="134">
        <f t="shared" si="4"/>
        <v>250740931</v>
      </c>
    </row>
    <row r="41" spans="2:16" x14ac:dyDescent="0.25">
      <c r="B41" s="53" t="s">
        <v>118</v>
      </c>
      <c r="C41" s="110">
        <f>L53/L47</f>
        <v>0.11108687089744915</v>
      </c>
      <c r="D41" s="110">
        <f>M53/M47</f>
        <v>7.3806459827698789E-2</v>
      </c>
      <c r="E41" s="110">
        <f>N53/N47</f>
        <v>0.12358078959044731</v>
      </c>
      <c r="F41" s="110">
        <f>O53/O47</f>
        <v>7.3030664167298476E-2</v>
      </c>
      <c r="G41" s="120">
        <f>P53/P47</f>
        <v>9.0366489926341345E-2</v>
      </c>
    </row>
    <row r="42" spans="2:16" x14ac:dyDescent="0.25">
      <c r="B42" s="53" t="s">
        <v>119</v>
      </c>
      <c r="C42" s="110">
        <f>L45/L47</f>
        <v>4.8825118605214414E-2</v>
      </c>
      <c r="D42" s="110">
        <f>M45/M47</f>
        <v>0.16817927402006952</v>
      </c>
      <c r="E42" s="110">
        <f>N45/N47</f>
        <v>0.28984269919321964</v>
      </c>
      <c r="F42" s="110">
        <f>O45/O47</f>
        <v>0.35014694662359769</v>
      </c>
      <c r="G42" s="120">
        <f>P45/P47</f>
        <v>0.35800142385929895</v>
      </c>
    </row>
    <row r="43" spans="2:16" x14ac:dyDescent="0.25">
      <c r="B43" s="53" t="s">
        <v>121</v>
      </c>
      <c r="C43" s="110">
        <f>L51/L47</f>
        <v>7.130605221364246E-2</v>
      </c>
      <c r="D43" s="110">
        <f>M51/M47</f>
        <v>8.8386261162339233E-2</v>
      </c>
      <c r="E43" s="110">
        <f>N51/N47</f>
        <v>0.10034614440590771</v>
      </c>
      <c r="F43" s="110">
        <f>O51/O47</f>
        <v>7.5038549437509733E-2</v>
      </c>
      <c r="G43" s="120">
        <f>P51/P47</f>
        <v>8.0284819867582236E-2</v>
      </c>
      <c r="H43" s="31"/>
      <c r="I43" s="31"/>
      <c r="J43" s="31"/>
      <c r="K43" s="31"/>
      <c r="M43" s="31"/>
      <c r="N43" s="31"/>
      <c r="O43" s="31"/>
    </row>
    <row r="44" spans="2:16" ht="15.75" thickBot="1" x14ac:dyDescent="0.3">
      <c r="B44" s="57" t="s">
        <v>122</v>
      </c>
      <c r="C44" s="121">
        <f>L54/L47</f>
        <v>6.7262962129148174E-2</v>
      </c>
      <c r="D44" s="121">
        <f>M54/M47</f>
        <v>8.4332219299797909E-2</v>
      </c>
      <c r="E44" s="121">
        <f>N54/N47</f>
        <v>9.5844116017982026E-2</v>
      </c>
      <c r="F44" s="121">
        <f>O54/O47</f>
        <v>7.1957099451622902E-2</v>
      </c>
      <c r="G44" s="122">
        <f>P54/P47</f>
        <v>7.6500830171055953E-2</v>
      </c>
      <c r="H44" s="31"/>
      <c r="I44" s="31"/>
      <c r="J44" s="31"/>
      <c r="K44" s="99"/>
      <c r="L44" s="97">
        <v>2021</v>
      </c>
      <c r="M44" s="97">
        <v>2020</v>
      </c>
      <c r="N44" s="97">
        <v>2019</v>
      </c>
      <c r="O44" s="97">
        <v>2018</v>
      </c>
      <c r="P44" s="97">
        <v>2017</v>
      </c>
    </row>
    <row r="45" spans="2:16" x14ac:dyDescent="0.25">
      <c r="C45" s="31"/>
      <c r="D45" s="31"/>
      <c r="E45" s="31"/>
      <c r="F45" s="31"/>
      <c r="G45" s="31"/>
      <c r="H45" s="31"/>
      <c r="I45" s="31"/>
      <c r="J45" s="31"/>
      <c r="K45" s="99" t="s">
        <v>120</v>
      </c>
      <c r="L45" s="110">
        <f>L4-L5</f>
        <v>42476315</v>
      </c>
      <c r="M45" s="110">
        <f t="shared" ref="M45:P45" si="5">M4-M5</f>
        <v>119418082</v>
      </c>
      <c r="N45" s="110">
        <f t="shared" si="5"/>
        <v>182560477</v>
      </c>
      <c r="O45" s="110">
        <f t="shared" si="5"/>
        <v>210086919</v>
      </c>
      <c r="P45" s="110">
        <f t="shared" si="5"/>
        <v>177181953</v>
      </c>
    </row>
    <row r="46" spans="2:16" x14ac:dyDescent="0.25">
      <c r="C46" s="31"/>
      <c r="D46" s="31"/>
      <c r="E46" s="31"/>
      <c r="F46" s="31"/>
      <c r="G46" s="31"/>
      <c r="H46" s="31"/>
      <c r="I46" s="31"/>
      <c r="J46" s="31"/>
      <c r="K46" s="99"/>
      <c r="L46" s="99"/>
      <c r="M46" s="99"/>
      <c r="N46" s="99"/>
      <c r="O46" s="99"/>
      <c r="P46" s="99"/>
    </row>
    <row r="47" spans="2:16" x14ac:dyDescent="0.25">
      <c r="C47" s="31"/>
      <c r="D47" s="31"/>
      <c r="E47" s="31"/>
      <c r="F47" s="31"/>
      <c r="G47" s="31"/>
      <c r="H47" s="31"/>
      <c r="I47" s="31"/>
      <c r="J47" s="31"/>
      <c r="K47" s="126" t="s">
        <v>32</v>
      </c>
      <c r="L47" s="7">
        <v>869968496</v>
      </c>
      <c r="M47" s="8">
        <v>710064202</v>
      </c>
      <c r="N47" s="8">
        <v>629860533</v>
      </c>
      <c r="O47" s="8">
        <v>599996433</v>
      </c>
      <c r="P47" s="8">
        <v>494919688</v>
      </c>
    </row>
    <row r="48" spans="2:16" x14ac:dyDescent="0.25">
      <c r="C48" s="31"/>
      <c r="D48" s="31"/>
      <c r="E48" s="31"/>
      <c r="F48" s="31"/>
      <c r="G48" s="31"/>
      <c r="H48" s="31"/>
      <c r="I48" s="31"/>
      <c r="J48" s="31"/>
      <c r="K48" s="99"/>
      <c r="L48" s="99"/>
      <c r="M48" s="99"/>
      <c r="N48" s="99"/>
      <c r="O48" s="99"/>
      <c r="P48" s="99"/>
    </row>
    <row r="49" spans="3:16" x14ac:dyDescent="0.25">
      <c r="C49" s="31"/>
      <c r="D49" s="31"/>
      <c r="E49" s="31"/>
      <c r="F49" s="31"/>
      <c r="G49" s="31"/>
      <c r="H49" s="31"/>
      <c r="I49" s="31"/>
      <c r="J49" s="31"/>
      <c r="K49" s="135" t="s">
        <v>3</v>
      </c>
      <c r="L49" s="4">
        <v>58516658</v>
      </c>
      <c r="M49" s="33">
        <v>59881290</v>
      </c>
      <c r="N49" s="33">
        <v>60368426</v>
      </c>
      <c r="O49" s="33">
        <v>43174003</v>
      </c>
      <c r="P49" s="33">
        <v>37861767</v>
      </c>
    </row>
    <row r="50" spans="3:16" x14ac:dyDescent="0.25">
      <c r="C50" s="31"/>
      <c r="D50" s="31"/>
      <c r="E50" s="31"/>
      <c r="F50" s="31"/>
      <c r="G50" s="31"/>
      <c r="H50" s="31"/>
      <c r="I50" s="31"/>
      <c r="J50" s="31"/>
      <c r="K50" s="135" t="s">
        <v>4</v>
      </c>
      <c r="L50" s="4">
        <v>3517361</v>
      </c>
      <c r="M50" s="33">
        <v>2878630</v>
      </c>
      <c r="N50" s="33">
        <v>2835650</v>
      </c>
      <c r="O50" s="33">
        <v>1848859</v>
      </c>
      <c r="P50" s="33">
        <v>1872771</v>
      </c>
    </row>
    <row r="51" spans="3:16" x14ac:dyDescent="0.25">
      <c r="C51" s="31"/>
      <c r="D51" s="31"/>
      <c r="E51" s="31"/>
      <c r="F51" s="31"/>
      <c r="G51" s="31"/>
      <c r="H51" s="31"/>
      <c r="I51" s="31"/>
      <c r="J51" s="31"/>
      <c r="K51" s="99"/>
      <c r="L51" s="134">
        <f>SUM(L49,L50)</f>
        <v>62034019</v>
      </c>
      <c r="M51" s="134">
        <f t="shared" ref="M51:P51" si="6">SUM(M49,M50)</f>
        <v>62759920</v>
      </c>
      <c r="N51" s="134">
        <f t="shared" si="6"/>
        <v>63204076</v>
      </c>
      <c r="O51" s="134">
        <f t="shared" si="6"/>
        <v>45022862</v>
      </c>
      <c r="P51" s="134">
        <f t="shared" si="6"/>
        <v>39734538</v>
      </c>
    </row>
    <row r="52" spans="3:16" x14ac:dyDescent="0.25">
      <c r="H52" s="31"/>
      <c r="I52" s="31"/>
      <c r="J52" s="31"/>
      <c r="K52" s="99"/>
      <c r="L52" s="99"/>
      <c r="M52" s="99"/>
      <c r="N52" s="99"/>
      <c r="O52" s="99"/>
      <c r="P52" s="99"/>
    </row>
    <row r="53" spans="3:16" x14ac:dyDescent="0.25">
      <c r="H53" s="31"/>
      <c r="I53" s="31"/>
      <c r="J53" s="31"/>
      <c r="K53" s="99" t="s">
        <v>123</v>
      </c>
      <c r="L53" s="99">
        <v>96642078</v>
      </c>
      <c r="M53" s="99">
        <v>52407325</v>
      </c>
      <c r="N53" s="99">
        <v>77838662</v>
      </c>
      <c r="O53" s="99">
        <v>43818138</v>
      </c>
      <c r="P53" s="99">
        <v>44724155</v>
      </c>
    </row>
    <row r="54" spans="3:16" x14ac:dyDescent="0.25">
      <c r="H54" s="31"/>
      <c r="I54" s="31"/>
      <c r="J54" s="31"/>
      <c r="K54" s="135" t="s">
        <v>3</v>
      </c>
      <c r="L54" s="4">
        <v>58516658</v>
      </c>
      <c r="M54" s="33">
        <v>59881290</v>
      </c>
      <c r="N54" s="33">
        <v>60368426</v>
      </c>
      <c r="O54" s="33">
        <v>43174003</v>
      </c>
      <c r="P54" s="33">
        <v>37861767</v>
      </c>
    </row>
  </sheetData>
  <mergeCells count="5">
    <mergeCell ref="B2:G2"/>
    <mergeCell ref="B13:G13"/>
    <mergeCell ref="B24:G24"/>
    <mergeCell ref="B33:G33"/>
    <mergeCell ref="B39:G3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2021</vt:lpstr>
      <vt:lpstr>2020</vt:lpstr>
      <vt:lpstr>2019</vt:lpstr>
      <vt:lpstr>2018</vt:lpstr>
      <vt:lpstr>BS</vt:lpstr>
      <vt:lpstr>IS</vt:lpstr>
      <vt:lpstr>Profitibility Ratios</vt:lpstr>
      <vt:lpstr>Risk Ratios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E5470</dc:creator>
  <cp:lastModifiedBy>Azfar Rishi</cp:lastModifiedBy>
  <cp:revision/>
  <dcterms:created xsi:type="dcterms:W3CDTF">2022-03-30T12:51:14Z</dcterms:created>
  <dcterms:modified xsi:type="dcterms:W3CDTF">2022-04-06T18:18:43Z</dcterms:modified>
</cp:coreProperties>
</file>