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1234\Downloads\"/>
    </mc:Choice>
  </mc:AlternateContent>
  <xr:revisionPtr revIDLastSave="0" documentId="13_ncr:1_{22B84F26-9C5D-4AB0-A0B8-A36022530B14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Balance Sheet" sheetId="1" r:id="rId1"/>
    <sheet name="Income Statement" sheetId="2" r:id="rId2"/>
    <sheet name="Profitability Ratio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1" i="3" l="1"/>
  <c r="C74" i="3"/>
  <c r="D88" i="3"/>
  <c r="E88" i="3"/>
  <c r="F88" i="3"/>
  <c r="G88" i="3"/>
  <c r="C88" i="3"/>
  <c r="D86" i="3"/>
  <c r="E86" i="3"/>
  <c r="F86" i="3"/>
  <c r="G86" i="3"/>
  <c r="C86" i="3"/>
  <c r="G89" i="3"/>
  <c r="F89" i="3"/>
  <c r="E89" i="3"/>
  <c r="D89" i="3"/>
  <c r="C89" i="3"/>
  <c r="G84" i="3"/>
  <c r="F84" i="3"/>
  <c r="E84" i="3"/>
  <c r="D84" i="3"/>
  <c r="C84" i="3"/>
  <c r="G82" i="3"/>
  <c r="F82" i="3"/>
  <c r="E82" i="3"/>
  <c r="D82" i="3"/>
  <c r="C82" i="3"/>
  <c r="G80" i="3"/>
  <c r="F80" i="3"/>
  <c r="E80" i="3"/>
  <c r="D80" i="3"/>
  <c r="C80" i="3"/>
  <c r="G79" i="3"/>
  <c r="F79" i="3"/>
  <c r="E79" i="3"/>
  <c r="D79" i="3"/>
  <c r="C79" i="3"/>
  <c r="F78" i="3"/>
  <c r="G74" i="3"/>
  <c r="F74" i="3"/>
  <c r="E74" i="3"/>
  <c r="D74" i="3"/>
  <c r="G69" i="3"/>
  <c r="F69" i="3"/>
  <c r="E69" i="3"/>
  <c r="D69" i="3"/>
  <c r="C69" i="3"/>
  <c r="G67" i="3"/>
  <c r="G66" i="3" s="1"/>
  <c r="F67" i="3"/>
  <c r="F66" i="3" s="1"/>
  <c r="E67" i="3"/>
  <c r="D67" i="3"/>
  <c r="D66" i="3" s="1"/>
  <c r="C67" i="3"/>
  <c r="C66" i="3" s="1"/>
  <c r="E66" i="3"/>
  <c r="G63" i="3"/>
  <c r="F63" i="3"/>
  <c r="E63" i="3"/>
  <c r="D63" i="3"/>
  <c r="C63" i="3"/>
  <c r="G58" i="3"/>
  <c r="F58" i="3"/>
  <c r="E58" i="3"/>
  <c r="D58" i="3"/>
  <c r="C58" i="3"/>
  <c r="AC52" i="3"/>
  <c r="AB52" i="3"/>
  <c r="AA52" i="3"/>
  <c r="Z52" i="3"/>
  <c r="Y52" i="3"/>
  <c r="AB51" i="3"/>
  <c r="AC49" i="3"/>
  <c r="AB49" i="3"/>
  <c r="AB53" i="3" s="1"/>
  <c r="AA49" i="3"/>
  <c r="Z49" i="3"/>
  <c r="Y49" i="3"/>
  <c r="Y53" i="3" s="1"/>
  <c r="AC47" i="3"/>
  <c r="AB47" i="3"/>
  <c r="AA47" i="3"/>
  <c r="Z47" i="3"/>
  <c r="Y47" i="3"/>
  <c r="AC46" i="3"/>
  <c r="AB46" i="3"/>
  <c r="AA46" i="3"/>
  <c r="Z46" i="3"/>
  <c r="Y46" i="3"/>
  <c r="AC43" i="3"/>
  <c r="AB43" i="3"/>
  <c r="AA43" i="3"/>
  <c r="Z43" i="3"/>
  <c r="Y43" i="3"/>
  <c r="G32" i="3"/>
  <c r="G91" i="3" s="1"/>
  <c r="F32" i="3"/>
  <c r="E32" i="3"/>
  <c r="D32" i="3"/>
  <c r="Z51" i="3" s="1"/>
  <c r="Z53" i="3" s="1"/>
  <c r="C32" i="3"/>
  <c r="Y51" i="3" s="1"/>
  <c r="G31" i="3"/>
  <c r="G87" i="3" s="1"/>
  <c r="F31" i="3"/>
  <c r="F87" i="3" s="1"/>
  <c r="E31" i="3"/>
  <c r="D31" i="3"/>
  <c r="C31" i="3"/>
  <c r="C87" i="3" s="1"/>
  <c r="G30" i="3"/>
  <c r="F30" i="3"/>
  <c r="E30" i="3"/>
  <c r="E75" i="3" s="1"/>
  <c r="D30" i="3"/>
  <c r="C30" i="3"/>
  <c r="G29" i="3"/>
  <c r="G75" i="3" s="1"/>
  <c r="F29" i="3"/>
  <c r="F75" i="3" s="1"/>
  <c r="E29" i="3"/>
  <c r="D29" i="3"/>
  <c r="D90" i="3" s="1"/>
  <c r="C29" i="3"/>
  <c r="C90" i="3" s="1"/>
  <c r="G27" i="3"/>
  <c r="G85" i="3" s="1"/>
  <c r="F27" i="3"/>
  <c r="F85" i="3" s="1"/>
  <c r="E27" i="3"/>
  <c r="E85" i="3" s="1"/>
  <c r="D27" i="3"/>
  <c r="D85" i="3" s="1"/>
  <c r="C27" i="3"/>
  <c r="C85" i="3" s="1"/>
  <c r="G18" i="3"/>
  <c r="G83" i="3" s="1"/>
  <c r="G81" i="3" s="1"/>
  <c r="F18" i="3"/>
  <c r="F83" i="3" s="1"/>
  <c r="E18" i="3"/>
  <c r="E83" i="3" s="1"/>
  <c r="D18" i="3"/>
  <c r="D83" i="3" s="1"/>
  <c r="C18" i="3"/>
  <c r="C83" i="3" s="1"/>
  <c r="D30" i="2"/>
  <c r="D41" i="1"/>
  <c r="D28" i="1"/>
  <c r="D26" i="1"/>
  <c r="D81" i="3" l="1"/>
  <c r="E81" i="3"/>
  <c r="F81" i="3"/>
  <c r="AA51" i="3"/>
  <c r="AA53" i="3" s="1"/>
  <c r="C76" i="3"/>
  <c r="D87" i="3"/>
  <c r="E90" i="3"/>
  <c r="F90" i="3"/>
  <c r="D76" i="3"/>
  <c r="E87" i="3"/>
  <c r="AC51" i="3"/>
  <c r="AC53" i="3" s="1"/>
  <c r="E76" i="3"/>
  <c r="C78" i="3"/>
  <c r="G90" i="3"/>
  <c r="C75" i="3"/>
  <c r="F76" i="3"/>
  <c r="D78" i="3"/>
  <c r="C91" i="3"/>
  <c r="D75" i="3"/>
  <c r="G76" i="3"/>
  <c r="E78" i="3"/>
  <c r="D91" i="3"/>
  <c r="E91" i="3"/>
  <c r="G78" i="3"/>
  <c r="F91" i="3"/>
</calcChain>
</file>

<file path=xl/sharedStrings.xml><?xml version="1.0" encoding="utf-8"?>
<sst xmlns="http://schemas.openxmlformats.org/spreadsheetml/2006/main" count="181" uniqueCount="124">
  <si>
    <t>Rupees in ‘000</t>
  </si>
  <si>
    <t>Assets</t>
  </si>
  <si>
    <t>Cash and balances with treasury banks</t>
  </si>
  <si>
    <t>Balances with other banks</t>
  </si>
  <si>
    <t>Lendings to financial institutions</t>
  </si>
  <si>
    <t>–</t>
  </si>
  <si>
    <t>Investments</t>
  </si>
  <si>
    <t>Advances</t>
  </si>
  <si>
    <t>Fixed assets</t>
  </si>
  <si>
    <t>Intangible assets</t>
  </si>
  <si>
    <t>Deferred tax assets</t>
  </si>
  <si>
    <t>Other assets</t>
  </si>
  <si>
    <t>Assets attributable to discontinued operations</t>
  </si>
  <si>
    <t>Total Assets</t>
  </si>
  <si>
    <t>Liabilities</t>
  </si>
  <si>
    <t>Bills payable</t>
  </si>
  <si>
    <t>Borrowings</t>
  </si>
  <si>
    <t>Deposits and other accounts</t>
  </si>
  <si>
    <t>Liabilities against assets subject to finance lease</t>
  </si>
  <si>
    <t>Subordinated debts</t>
  </si>
  <si>
    <t>Deferred tax liabilities</t>
  </si>
  <si>
    <t>Other liabilities</t>
  </si>
  <si>
    <t>Total Liabilites</t>
  </si>
  <si>
    <t>Liabilities associated with discontionued operations</t>
  </si>
  <si>
    <t>Net Assets</t>
  </si>
  <si>
    <t>Represented By</t>
  </si>
  <si>
    <t>Share capital</t>
  </si>
  <si>
    <t>Reserves</t>
  </si>
  <si>
    <t>Surplus on revaluation of assets - net of tax</t>
  </si>
  <si>
    <t>Continued operations</t>
  </si>
  <si>
    <t>Discontinued operations</t>
  </si>
  <si>
    <t>Unappropriated profit</t>
  </si>
  <si>
    <t>Non-controlling interest</t>
  </si>
  <si>
    <t xml:space="preserve">Mark-up / return / interest earned </t>
  </si>
  <si>
    <t xml:space="preserve">77,569,443
</t>
  </si>
  <si>
    <t xml:space="preserve">79,118,320
</t>
  </si>
  <si>
    <t>Mark-up / return / interest expenses</t>
  </si>
  <si>
    <t>Net mark-up / interest income</t>
  </si>
  <si>
    <t>Non mark-up / interest income</t>
  </si>
  <si>
    <t>Fee and commission income</t>
  </si>
  <si>
    <t>Dividend income</t>
  </si>
  <si>
    <t>Foreign exchange income</t>
  </si>
  <si>
    <t>Income / (loss) from derivatives</t>
  </si>
  <si>
    <t>Gain on securities</t>
  </si>
  <si>
    <t>Other income</t>
  </si>
  <si>
    <t>Total non-markup / interest income</t>
  </si>
  <si>
    <t>Total income</t>
  </si>
  <si>
    <t>Non mark-up / interest expenses</t>
  </si>
  <si>
    <t>Operating expenses</t>
  </si>
  <si>
    <t>Workers’ welfare fund</t>
  </si>
  <si>
    <t>Total non-markup / interest expenses</t>
  </si>
  <si>
    <t>Profit before provisions</t>
  </si>
  <si>
    <t>Provisions and write offs - net</t>
  </si>
  <si>
    <t>Extraordinary / unusual items</t>
  </si>
  <si>
    <t>Profit before taxation</t>
  </si>
  <si>
    <t>Taxation</t>
  </si>
  <si>
    <t>Profit after taxation</t>
  </si>
  <si>
    <t>(Loss) / profit after taxation - discontinued operations</t>
  </si>
  <si>
    <t>Attributable to:</t>
  </si>
  <si>
    <t>Equity holders of the Bank</t>
  </si>
  <si>
    <t>Basic and diluted earnings per share</t>
  </si>
  <si>
    <t>Earning Assets</t>
  </si>
  <si>
    <t>Loans and Advances</t>
  </si>
  <si>
    <t>Lending to Financial Institutions - Net</t>
  </si>
  <si>
    <t xml:space="preserve">Balances with other banks </t>
  </si>
  <si>
    <t>TOTAL EARNING ASSETS</t>
  </si>
  <si>
    <t>Interest Bearing Liabilities</t>
  </si>
  <si>
    <t>Deposits (less of Current Accounts)</t>
  </si>
  <si>
    <t>Current Account Deposits</t>
  </si>
  <si>
    <t>Subordinated Debts</t>
  </si>
  <si>
    <t>Lease liability against ROU assets as per IFRS - 16 Leases</t>
  </si>
  <si>
    <t>Total Interest Bearing Liability</t>
  </si>
  <si>
    <t>Net Income</t>
  </si>
  <si>
    <t>Equity</t>
  </si>
  <si>
    <t>Total Operating Revenue</t>
  </si>
  <si>
    <t>Workings</t>
  </si>
  <si>
    <t>USE FOR NEXT RATIOS WHEN GIVEN</t>
  </si>
  <si>
    <t>Return on Equity</t>
  </si>
  <si>
    <t>ROE=(Net Income/ Pre-Tax Net Operating Income) * (Pre-Tax Net Operating Income/Total Operating Revenue) * (Total Operating Revenue/Total Assets) * (Total Assets/ TOtal Equity Capital )</t>
  </si>
  <si>
    <t>Credit Risk</t>
  </si>
  <si>
    <t>Nonperforming Loans/Total Loans</t>
  </si>
  <si>
    <t>Net Charge-Offs/Total Loans</t>
  </si>
  <si>
    <t>Provision for LOan Loses/Total Loans</t>
  </si>
  <si>
    <t>Provision for LOan Loses/Equity Capital</t>
  </si>
  <si>
    <t>Allowance for Loan Losses/ Toal Loans</t>
  </si>
  <si>
    <t>(Net Income/ Pre-Tax Net Operating Income)</t>
  </si>
  <si>
    <t>(Pre-Tax Net Operating Income/Total Operating Revenue)</t>
  </si>
  <si>
    <t>(Total Operating Revenue/Total Assets)</t>
  </si>
  <si>
    <t>(Total Assets/ TOtal Equity Capital )</t>
  </si>
  <si>
    <t xml:space="preserve">Market Risk Measures </t>
  </si>
  <si>
    <t>Book-Value of Assets/Market Value of Assets</t>
  </si>
  <si>
    <t>Book-Value of Equity/Market Value of Equity</t>
  </si>
  <si>
    <t>Market Value Per Share</t>
  </si>
  <si>
    <t>Number of Shares Outstanding</t>
  </si>
  <si>
    <t>Book Value of Shares</t>
  </si>
  <si>
    <t>Book-Value of Bonds/Market Value of Bonds</t>
  </si>
  <si>
    <t>Intrest Sensitive Assets/Intrest Sensitive Liabilities</t>
  </si>
  <si>
    <t>Intrest Sensitive Assets</t>
  </si>
  <si>
    <t>Intrest Sensitive Liabilitis</t>
  </si>
  <si>
    <t xml:space="preserve">Uninsured Deposits/Total Deposits </t>
  </si>
  <si>
    <t xml:space="preserve"> </t>
  </si>
  <si>
    <t>Uninsured Deposits</t>
  </si>
  <si>
    <t>Total Deposits</t>
  </si>
  <si>
    <t>Stock Price/Earnings Per Share</t>
  </si>
  <si>
    <t xml:space="preserve">Stock Price </t>
  </si>
  <si>
    <t>Earnings Per Share</t>
  </si>
  <si>
    <t xml:space="preserve">Income /expense ratio </t>
  </si>
  <si>
    <t>Net Interest Margin</t>
  </si>
  <si>
    <t>Net non Interest Margin</t>
  </si>
  <si>
    <t>Earning Spread</t>
  </si>
  <si>
    <t>Total Interest Income</t>
  </si>
  <si>
    <t>Total Earning Asset</t>
  </si>
  <si>
    <t>Total Interest Expense</t>
  </si>
  <si>
    <t>Return on Equity (ROE)</t>
  </si>
  <si>
    <t>Return on Assets (ROA)</t>
  </si>
  <si>
    <t xml:space="preserve">Gross spread ratio </t>
  </si>
  <si>
    <t>NOM(Net Operating Margin)</t>
  </si>
  <si>
    <t>Net Profit Margin</t>
  </si>
  <si>
    <t xml:space="preserve">Equity Multiplier </t>
  </si>
  <si>
    <t>Asset Utilization</t>
  </si>
  <si>
    <t>Operating efficiency</t>
  </si>
  <si>
    <t>Tax management effeciency</t>
  </si>
  <si>
    <t>Asset management effeciency</t>
  </si>
  <si>
    <t>Profitability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</si>
</sst>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97" formatCode="0.0000000000000000"/>
    <numFmt numFmtId="198" formatCode="0.000%"/>
  </numFmts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rgb="FF000000"/>
      <name val="Inconsolata"/>
    </font>
    <font>
      <sz val="11"/>
      <color rgb="FF000000"/>
      <name val="Roboto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20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5">
    <xf numFmtId="0" fontId="0" fillId="0" borderId="0" xfId="0" applyFont="1" applyAlignment="1"/>
    <xf numFmtId="0" fontId="1" fillId="0" borderId="0" xfId="0" applyFont="1"/>
    <xf numFmtId="3" fontId="2" fillId="0" borderId="0" xfId="0" applyNumberFormat="1" applyFont="1"/>
    <xf numFmtId="3" fontId="2" fillId="2" borderId="1" xfId="0" applyNumberFormat="1" applyFont="1" applyFill="1" applyBorder="1"/>
    <xf numFmtId="0" fontId="3" fillId="0" borderId="0" xfId="0" applyFont="1"/>
    <xf numFmtId="3" fontId="4" fillId="0" borderId="0" xfId="0" applyNumberFormat="1" applyFont="1"/>
    <xf numFmtId="0" fontId="3" fillId="0" borderId="0" xfId="0" applyFont="1" applyAlignment="1"/>
    <xf numFmtId="0" fontId="1" fillId="0" borderId="0" xfId="0" applyFont="1" applyAlignment="1"/>
    <xf numFmtId="3" fontId="2" fillId="0" borderId="0" xfId="0" applyNumberFormat="1" applyFont="1" applyAlignment="1"/>
    <xf numFmtId="3" fontId="2" fillId="2" borderId="1" xfId="0" applyNumberFormat="1" applyFont="1" applyFill="1" applyBorder="1" applyAlignment="1"/>
    <xf numFmtId="3" fontId="3" fillId="0" borderId="0" xfId="0" applyNumberFormat="1" applyFont="1"/>
    <xf numFmtId="0" fontId="2" fillId="0" borderId="0" xfId="0" applyFont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/>
    <xf numFmtId="3" fontId="3" fillId="0" borderId="0" xfId="0" applyNumberFormat="1" applyFont="1" applyAlignment="1"/>
    <xf numFmtId="3" fontId="5" fillId="3" borderId="0" xfId="0" applyNumberFormat="1" applyFont="1" applyFill="1" applyAlignment="1"/>
    <xf numFmtId="3" fontId="6" fillId="3" borderId="0" xfId="0" applyNumberFormat="1" applyFont="1" applyFill="1" applyAlignment="1"/>
    <xf numFmtId="0" fontId="3" fillId="4" borderId="0" xfId="0" applyFont="1" applyFill="1" applyAlignment="1"/>
    <xf numFmtId="3" fontId="2" fillId="0" borderId="1" xfId="0" applyNumberFormat="1" applyFont="1" applyBorder="1"/>
    <xf numFmtId="0" fontId="3" fillId="5" borderId="0" xfId="0" applyFont="1" applyFill="1" applyAlignment="1"/>
    <xf numFmtId="0" fontId="7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Font="1" applyAlignment="1"/>
    <xf numFmtId="0" fontId="8" fillId="3" borderId="0" xfId="0" applyFont="1" applyFill="1" applyAlignment="1"/>
    <xf numFmtId="0" fontId="8" fillId="3" borderId="0" xfId="0" applyFont="1" applyFill="1" applyAlignment="1">
      <alignment horizontal="left"/>
    </xf>
    <xf numFmtId="0" fontId="3" fillId="6" borderId="0" xfId="0" applyFont="1" applyFill="1" applyAlignment="1"/>
    <xf numFmtId="0" fontId="3" fillId="6" borderId="0" xfId="0" applyFont="1" applyFill="1"/>
    <xf numFmtId="0" fontId="3" fillId="7" borderId="0" xfId="0" applyFont="1" applyFill="1" applyAlignment="1"/>
    <xf numFmtId="3" fontId="3" fillId="7" borderId="0" xfId="0" applyNumberFormat="1" applyFont="1" applyFill="1" applyAlignment="1"/>
    <xf numFmtId="4" fontId="3" fillId="7" borderId="0" xfId="0" applyNumberFormat="1" applyFont="1" applyFill="1" applyAlignment="1"/>
    <xf numFmtId="3" fontId="3" fillId="7" borderId="0" xfId="0" applyNumberFormat="1" applyFont="1" applyFill="1"/>
    <xf numFmtId="0" fontId="7" fillId="0" borderId="0" xfId="0" applyFont="1"/>
    <xf numFmtId="2" fontId="0" fillId="0" borderId="0" xfId="0" applyNumberFormat="1" applyFont="1" applyAlignment="1"/>
    <xf numFmtId="0" fontId="9" fillId="0" borderId="0" xfId="0" applyFont="1" applyAlignment="1">
      <alignment horizontal="center"/>
    </xf>
    <xf numFmtId="0" fontId="10" fillId="0" borderId="2" xfId="0" applyFont="1" applyFill="1" applyBorder="1" applyAlignment="1">
      <alignment horizontal="center"/>
    </xf>
    <xf numFmtId="10" fontId="10" fillId="8" borderId="2" xfId="1" applyNumberFormat="1" applyFont="1" applyFill="1" applyBorder="1" applyAlignment="1">
      <alignment horizontal="center"/>
    </xf>
    <xf numFmtId="10" fontId="10" fillId="8" borderId="2" xfId="0" applyNumberFormat="1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3" fontId="11" fillId="8" borderId="2" xfId="0" applyNumberFormat="1" applyFont="1" applyFill="1" applyBorder="1" applyAlignment="1">
      <alignment horizontal="center"/>
    </xf>
    <xf numFmtId="2" fontId="10" fillId="8" borderId="2" xfId="0" applyNumberFormat="1" applyFont="1" applyFill="1" applyBorder="1" applyAlignment="1">
      <alignment horizontal="center"/>
    </xf>
    <xf numFmtId="10" fontId="10" fillId="0" borderId="2" xfId="0" applyNumberFormat="1" applyFont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197" fontId="10" fillId="0" borderId="2" xfId="0" applyNumberFormat="1" applyFont="1" applyBorder="1" applyAlignment="1">
      <alignment horizontal="center"/>
    </xf>
    <xf numFmtId="198" fontId="10" fillId="8" borderId="2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/>
  </sheetViews>
  <sheetFormatPr defaultColWidth="14.42578125" defaultRowHeight="15" customHeight="1" x14ac:dyDescent="0.25"/>
  <cols>
    <col min="1" max="1" width="44.5703125" customWidth="1"/>
    <col min="2" max="2" width="14" customWidth="1"/>
    <col min="3" max="3" width="12.28515625" customWidth="1"/>
    <col min="4" max="4" width="14" customWidth="1"/>
    <col min="5" max="6" width="12.28515625" customWidth="1"/>
    <col min="7" max="13" width="8.7109375" customWidth="1"/>
    <col min="14" max="14" width="11" customWidth="1"/>
    <col min="15" max="26" width="8.7109375" customWidth="1"/>
  </cols>
  <sheetData>
    <row r="1" spans="1:6" x14ac:dyDescent="0.25">
      <c r="A1" s="1" t="s">
        <v>0</v>
      </c>
      <c r="B1" s="1">
        <v>2021</v>
      </c>
      <c r="C1" s="1">
        <v>2020</v>
      </c>
      <c r="D1" s="1">
        <v>2019</v>
      </c>
      <c r="E1" s="1">
        <v>2018</v>
      </c>
      <c r="F1" s="1">
        <v>2017</v>
      </c>
    </row>
    <row r="2" spans="1:6" x14ac:dyDescent="0.25">
      <c r="A2" s="1"/>
    </row>
    <row r="3" spans="1:6" x14ac:dyDescent="0.25">
      <c r="A3" s="1" t="s">
        <v>1</v>
      </c>
    </row>
    <row r="4" spans="1:6" x14ac:dyDescent="0.25">
      <c r="A4" s="1" t="s">
        <v>2</v>
      </c>
      <c r="B4" s="2">
        <v>89432245</v>
      </c>
      <c r="C4" s="2">
        <v>73651718</v>
      </c>
      <c r="D4" s="2">
        <v>63039290</v>
      </c>
      <c r="E4" s="2">
        <v>49187645</v>
      </c>
      <c r="F4" s="2">
        <v>44239325</v>
      </c>
    </row>
    <row r="5" spans="1:6" x14ac:dyDescent="0.25">
      <c r="A5" s="1" t="s">
        <v>3</v>
      </c>
      <c r="B5" s="3">
        <v>3556215</v>
      </c>
      <c r="C5" s="3">
        <v>8196147</v>
      </c>
      <c r="D5" s="3">
        <v>7886702</v>
      </c>
      <c r="E5" s="3">
        <v>4093402</v>
      </c>
      <c r="F5" s="3">
        <v>3193835</v>
      </c>
    </row>
    <row r="6" spans="1:6" x14ac:dyDescent="0.25">
      <c r="A6" s="1" t="s">
        <v>4</v>
      </c>
      <c r="B6" s="4" t="s">
        <v>5</v>
      </c>
      <c r="C6" s="4" t="s">
        <v>5</v>
      </c>
      <c r="D6" s="2">
        <v>20405972</v>
      </c>
      <c r="E6" s="4" t="s">
        <v>5</v>
      </c>
      <c r="F6" s="2">
        <v>2250000</v>
      </c>
    </row>
    <row r="7" spans="1:6" x14ac:dyDescent="0.25">
      <c r="A7" s="1" t="s">
        <v>6</v>
      </c>
      <c r="B7" s="2">
        <v>616231172</v>
      </c>
      <c r="C7" s="2">
        <v>449611987</v>
      </c>
      <c r="D7" s="2">
        <v>305435633</v>
      </c>
      <c r="E7" s="3">
        <v>260233987</v>
      </c>
      <c r="F7" s="2">
        <v>314956748</v>
      </c>
    </row>
    <row r="8" spans="1:6" x14ac:dyDescent="0.25">
      <c r="A8" s="1" t="s">
        <v>7</v>
      </c>
      <c r="B8" s="2">
        <v>477673022</v>
      </c>
      <c r="C8" s="2">
        <v>395416055</v>
      </c>
      <c r="D8" s="2">
        <v>372913863</v>
      </c>
      <c r="E8" s="2">
        <v>343107147</v>
      </c>
      <c r="F8" s="2">
        <v>258693086</v>
      </c>
    </row>
    <row r="9" spans="1:6" x14ac:dyDescent="0.25">
      <c r="A9" s="1" t="s">
        <v>8</v>
      </c>
      <c r="B9" s="2">
        <v>20179222</v>
      </c>
      <c r="C9" s="2">
        <v>21232750</v>
      </c>
      <c r="D9" s="2">
        <v>19696568</v>
      </c>
      <c r="E9" s="2">
        <v>12791827</v>
      </c>
      <c r="F9" s="2">
        <v>9885958</v>
      </c>
    </row>
    <row r="10" spans="1:6" x14ac:dyDescent="0.25">
      <c r="A10" s="1" t="s">
        <v>9</v>
      </c>
      <c r="B10" s="2">
        <v>1188985</v>
      </c>
      <c r="C10" s="2">
        <v>1158857</v>
      </c>
      <c r="D10" s="2">
        <v>808994</v>
      </c>
      <c r="E10" s="2">
        <v>741361</v>
      </c>
      <c r="F10" s="2">
        <v>842869</v>
      </c>
    </row>
    <row r="11" spans="1:6" x14ac:dyDescent="0.25">
      <c r="A11" s="1" t="s">
        <v>10</v>
      </c>
      <c r="B11" s="3">
        <v>5161697</v>
      </c>
      <c r="C11" s="3">
        <v>1597334</v>
      </c>
      <c r="D11" s="2">
        <v>2489752</v>
      </c>
      <c r="E11" s="2">
        <v>3773779</v>
      </c>
      <c r="F11" s="5">
        <v>100755</v>
      </c>
    </row>
    <row r="12" spans="1:6" x14ac:dyDescent="0.25">
      <c r="A12" s="1" t="s">
        <v>11</v>
      </c>
      <c r="B12" s="2">
        <v>45906052</v>
      </c>
      <c r="C12" s="2">
        <v>42021813</v>
      </c>
      <c r="D12" s="2">
        <v>40450512</v>
      </c>
      <c r="E12" s="2">
        <v>32522174</v>
      </c>
      <c r="F12" s="2">
        <v>28448099</v>
      </c>
    </row>
    <row r="13" spans="1:6" x14ac:dyDescent="0.25">
      <c r="A13" s="1"/>
      <c r="D13" s="2">
        <v>833208006</v>
      </c>
      <c r="E13" s="2">
        <v>706451322</v>
      </c>
      <c r="F13" s="2">
        <v>662610675</v>
      </c>
    </row>
    <row r="14" spans="1:6" x14ac:dyDescent="0.25">
      <c r="A14" s="1" t="s">
        <v>12</v>
      </c>
      <c r="D14" s="6">
        <v>315741</v>
      </c>
      <c r="E14" s="2">
        <v>214757</v>
      </c>
      <c r="F14" s="2">
        <v>327949</v>
      </c>
    </row>
    <row r="15" spans="1:6" x14ac:dyDescent="0.25">
      <c r="A15" s="1"/>
    </row>
    <row r="16" spans="1:6" x14ac:dyDescent="0.25">
      <c r="A16" s="1"/>
    </row>
    <row r="17" spans="1:14" x14ac:dyDescent="0.25">
      <c r="A17" s="7" t="s">
        <v>13</v>
      </c>
      <c r="B17" s="2">
        <v>1259328610</v>
      </c>
      <c r="C17" s="2">
        <v>992886661</v>
      </c>
      <c r="D17" s="8">
        <v>833443027</v>
      </c>
      <c r="E17" s="2">
        <v>706666079</v>
      </c>
      <c r="F17" s="2">
        <v>662938624</v>
      </c>
    </row>
    <row r="18" spans="1:14" x14ac:dyDescent="0.25">
      <c r="A18" s="1" t="s">
        <v>14</v>
      </c>
    </row>
    <row r="19" spans="1:14" x14ac:dyDescent="0.25">
      <c r="A19" s="1" t="s">
        <v>15</v>
      </c>
      <c r="B19" s="2">
        <v>10235374</v>
      </c>
      <c r="C19" s="2">
        <v>12629996</v>
      </c>
      <c r="D19" s="3">
        <v>15768947</v>
      </c>
      <c r="E19" s="3">
        <v>15512880</v>
      </c>
      <c r="F19" s="3">
        <v>10769262</v>
      </c>
    </row>
    <row r="20" spans="1:14" x14ac:dyDescent="0.25">
      <c r="A20" s="1" t="s">
        <v>16</v>
      </c>
      <c r="B20" s="2">
        <v>123563761</v>
      </c>
      <c r="C20" s="2">
        <v>84163669</v>
      </c>
      <c r="D20" s="2">
        <v>51187681</v>
      </c>
      <c r="E20" s="2">
        <v>52702323</v>
      </c>
      <c r="F20" s="2">
        <v>71587311</v>
      </c>
    </row>
    <row r="21" spans="1:14" ht="15.75" customHeight="1" x14ac:dyDescent="0.25">
      <c r="A21" s="1" t="s">
        <v>17</v>
      </c>
      <c r="B21" s="2">
        <v>1015162254</v>
      </c>
      <c r="C21" s="2">
        <v>790982287</v>
      </c>
      <c r="D21" s="8">
        <v>679246312</v>
      </c>
      <c r="E21" s="2">
        <v>573596926</v>
      </c>
      <c r="F21" s="2">
        <v>525805051</v>
      </c>
    </row>
    <row r="22" spans="1:14" ht="15.75" customHeight="1" x14ac:dyDescent="0.25">
      <c r="A22" s="1" t="s">
        <v>18</v>
      </c>
      <c r="B22" s="4" t="s">
        <v>5</v>
      </c>
      <c r="C22" s="4" t="s">
        <v>5</v>
      </c>
      <c r="D22" s="4" t="s">
        <v>5</v>
      </c>
      <c r="E22" s="4" t="s">
        <v>5</v>
      </c>
      <c r="F22" s="4" t="s">
        <v>5</v>
      </c>
    </row>
    <row r="23" spans="1:14" ht="15.75" customHeight="1" x14ac:dyDescent="0.25">
      <c r="A23" s="1" t="s">
        <v>19</v>
      </c>
      <c r="B23" s="2">
        <v>12000000</v>
      </c>
      <c r="C23" s="2">
        <v>12000000</v>
      </c>
      <c r="D23" s="2">
        <v>9992000</v>
      </c>
      <c r="E23" s="3">
        <v>9993600</v>
      </c>
      <c r="F23" s="3">
        <v>4992800</v>
      </c>
    </row>
    <row r="24" spans="1:14" ht="15.75" customHeight="1" x14ac:dyDescent="0.25">
      <c r="A24" s="1" t="s">
        <v>20</v>
      </c>
      <c r="B24" s="4" t="s">
        <v>5</v>
      </c>
      <c r="C24" s="4" t="s">
        <v>5</v>
      </c>
      <c r="D24" s="4" t="s">
        <v>5</v>
      </c>
      <c r="E24" s="4" t="s">
        <v>5</v>
      </c>
      <c r="F24" s="4" t="s">
        <v>5</v>
      </c>
    </row>
    <row r="25" spans="1:14" ht="15.75" customHeight="1" x14ac:dyDescent="0.25">
      <c r="A25" s="1" t="s">
        <v>21</v>
      </c>
      <c r="B25" s="2">
        <v>42326358</v>
      </c>
      <c r="C25" s="2">
        <v>38429434</v>
      </c>
      <c r="D25" s="9">
        <v>34704048</v>
      </c>
      <c r="E25" s="3">
        <v>21178476</v>
      </c>
      <c r="F25" s="2">
        <v>17098223</v>
      </c>
    </row>
    <row r="26" spans="1:14" ht="15.75" customHeight="1" x14ac:dyDescent="0.25">
      <c r="A26" s="7" t="s">
        <v>22</v>
      </c>
      <c r="B26" s="2">
        <v>1203287747</v>
      </c>
      <c r="C26" s="2">
        <v>938205386</v>
      </c>
      <c r="D26" s="2">
        <f>SUM(D19:D25)</f>
        <v>790898988</v>
      </c>
      <c r="E26" s="2">
        <v>672984205</v>
      </c>
      <c r="F26" s="2">
        <v>630252647</v>
      </c>
    </row>
    <row r="27" spans="1:14" ht="15.75" customHeight="1" x14ac:dyDescent="0.25">
      <c r="A27" s="1" t="s">
        <v>23</v>
      </c>
      <c r="B27" s="4" t="s">
        <v>5</v>
      </c>
      <c r="C27" s="4" t="s">
        <v>5</v>
      </c>
      <c r="D27" s="6">
        <v>141856</v>
      </c>
      <c r="E27" s="3">
        <v>81513</v>
      </c>
      <c r="F27" s="3">
        <v>140741</v>
      </c>
    </row>
    <row r="28" spans="1:14" ht="15.75" customHeight="1" x14ac:dyDescent="0.25">
      <c r="A28" s="1"/>
      <c r="D28" s="10">
        <f>SUM(D26:D27)</f>
        <v>791040844</v>
      </c>
      <c r="E28" s="3">
        <v>673065718</v>
      </c>
      <c r="F28" s="3">
        <v>630393388</v>
      </c>
      <c r="N28" s="2"/>
    </row>
    <row r="29" spans="1:14" ht="15.75" customHeight="1" x14ac:dyDescent="0.25">
      <c r="A29" s="1" t="s">
        <v>24</v>
      </c>
      <c r="B29" s="2">
        <v>56040863</v>
      </c>
      <c r="C29" s="2">
        <v>54681275</v>
      </c>
      <c r="D29" s="8">
        <v>42402183</v>
      </c>
      <c r="E29" s="2">
        <v>33600361</v>
      </c>
      <c r="F29" s="2">
        <v>32545236</v>
      </c>
    </row>
    <row r="30" spans="1:14" ht="15.75" customHeight="1" x14ac:dyDescent="0.25">
      <c r="A30" s="1" t="s">
        <v>25</v>
      </c>
    </row>
    <row r="31" spans="1:14" ht="15.75" customHeight="1" x14ac:dyDescent="0.25">
      <c r="A31" s="1" t="s">
        <v>26</v>
      </c>
      <c r="B31" s="2">
        <v>12602602</v>
      </c>
      <c r="C31" s="2">
        <v>12602602</v>
      </c>
      <c r="D31" s="2">
        <v>12602602</v>
      </c>
      <c r="E31" s="2">
        <v>12602602</v>
      </c>
      <c r="F31" s="2">
        <v>12602602</v>
      </c>
    </row>
    <row r="32" spans="1:14" ht="15.75" customHeight="1" x14ac:dyDescent="0.25">
      <c r="A32" s="1" t="s">
        <v>27</v>
      </c>
      <c r="B32" s="2">
        <v>32832051</v>
      </c>
      <c r="C32" s="2">
        <v>25701665</v>
      </c>
      <c r="D32" s="8">
        <v>19408889</v>
      </c>
      <c r="E32" s="2">
        <v>15588694</v>
      </c>
      <c r="F32" s="2">
        <v>12032263</v>
      </c>
    </row>
    <row r="33" spans="1:6" ht="15.75" customHeight="1" x14ac:dyDescent="0.25">
      <c r="A33" s="1" t="s">
        <v>28</v>
      </c>
      <c r="B33" s="2">
        <v>1987976</v>
      </c>
      <c r="C33" s="2">
        <v>7670955</v>
      </c>
    </row>
    <row r="34" spans="1:6" ht="15.75" customHeight="1" x14ac:dyDescent="0.25">
      <c r="A34" s="7" t="s">
        <v>29</v>
      </c>
      <c r="B34" s="2">
        <v>8618234</v>
      </c>
      <c r="C34" s="2">
        <v>8706053</v>
      </c>
      <c r="D34" s="2">
        <v>4300426</v>
      </c>
      <c r="E34" s="3">
        <v>1649197</v>
      </c>
      <c r="F34" s="3">
        <v>5142254</v>
      </c>
    </row>
    <row r="35" spans="1:6" ht="15.75" customHeight="1" x14ac:dyDescent="0.25">
      <c r="A35" s="1" t="s">
        <v>30</v>
      </c>
      <c r="D35" s="2">
        <v>39467</v>
      </c>
      <c r="E35" s="3">
        <v>5723</v>
      </c>
      <c r="F35" s="3">
        <v>19877</v>
      </c>
    </row>
    <row r="36" spans="1:6" ht="15.75" customHeight="1" x14ac:dyDescent="0.25">
      <c r="A36" s="1" t="s">
        <v>31</v>
      </c>
      <c r="D36" s="8">
        <v>6002253</v>
      </c>
      <c r="E36" s="2">
        <v>3710867</v>
      </c>
      <c r="F36" s="2">
        <v>2703887</v>
      </c>
    </row>
    <row r="37" spans="1:6" ht="15.75" customHeight="1" x14ac:dyDescent="0.25">
      <c r="A37" s="1"/>
      <c r="D37" s="8">
        <v>42353637</v>
      </c>
      <c r="E37" s="2">
        <v>33557083</v>
      </c>
      <c r="F37" s="2">
        <v>32500883</v>
      </c>
    </row>
    <row r="38" spans="1:6" ht="15.75" customHeight="1" x14ac:dyDescent="0.25">
      <c r="A38" s="1"/>
    </row>
    <row r="39" spans="1:6" ht="15.75" customHeight="1" x14ac:dyDescent="0.25">
      <c r="A39" s="1" t="s">
        <v>32</v>
      </c>
      <c r="B39" s="4" t="s">
        <v>5</v>
      </c>
      <c r="C39" s="4" t="s">
        <v>5</v>
      </c>
      <c r="D39" s="2">
        <v>48546</v>
      </c>
      <c r="E39" s="2">
        <v>43278</v>
      </c>
      <c r="F39" s="2">
        <v>44353</v>
      </c>
    </row>
    <row r="40" spans="1:6" ht="15.75" customHeight="1" x14ac:dyDescent="0.25">
      <c r="E40" s="2"/>
    </row>
    <row r="41" spans="1:6" ht="15.75" customHeight="1" x14ac:dyDescent="0.25">
      <c r="B41" s="2">
        <v>56040863</v>
      </c>
      <c r="C41" s="2">
        <v>54681275</v>
      </c>
      <c r="D41" s="2">
        <f>SUM(D37:D39)</f>
        <v>42402183</v>
      </c>
      <c r="E41" s="2">
        <v>33600361</v>
      </c>
      <c r="F41" s="2">
        <v>32545236</v>
      </c>
    </row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2578125" defaultRowHeight="15" customHeight="1" x14ac:dyDescent="0.25"/>
  <cols>
    <col min="1" max="1" width="50.28515625" customWidth="1"/>
    <col min="2" max="4" width="12.28515625" customWidth="1"/>
    <col min="5" max="6" width="11.140625" customWidth="1"/>
    <col min="7" max="26" width="8.7109375" customWidth="1"/>
  </cols>
  <sheetData>
    <row r="1" spans="1:6" x14ac:dyDescent="0.25">
      <c r="A1" s="1" t="s">
        <v>0</v>
      </c>
      <c r="B1" s="1">
        <v>2021</v>
      </c>
      <c r="C1" s="1">
        <v>2020</v>
      </c>
      <c r="D1" s="1">
        <v>2019</v>
      </c>
      <c r="E1" s="1">
        <v>2018</v>
      </c>
      <c r="F1" s="1">
        <v>2017</v>
      </c>
    </row>
    <row r="2" spans="1:6" x14ac:dyDescent="0.25">
      <c r="A2" s="1"/>
    </row>
    <row r="3" spans="1:6" x14ac:dyDescent="0.25">
      <c r="A3" s="1" t="s">
        <v>33</v>
      </c>
      <c r="B3" s="11" t="s">
        <v>34</v>
      </c>
      <c r="C3" s="11" t="s">
        <v>35</v>
      </c>
      <c r="D3" s="12">
        <v>71704373</v>
      </c>
      <c r="E3" s="2">
        <v>43669883</v>
      </c>
      <c r="F3" s="2">
        <v>36267220</v>
      </c>
    </row>
    <row r="4" spans="1:6" x14ac:dyDescent="0.25">
      <c r="A4" s="1" t="s">
        <v>36</v>
      </c>
      <c r="B4" s="2">
        <v>45139897</v>
      </c>
      <c r="C4" s="2">
        <v>48842539</v>
      </c>
      <c r="D4" s="9">
        <v>49567851</v>
      </c>
      <c r="E4" s="3">
        <v>25059925</v>
      </c>
      <c r="F4" s="2">
        <v>20071958</v>
      </c>
    </row>
    <row r="5" spans="1:6" x14ac:dyDescent="0.25">
      <c r="A5" s="1" t="s">
        <v>37</v>
      </c>
      <c r="B5" s="2">
        <v>32429546</v>
      </c>
      <c r="C5" s="2">
        <v>30275781</v>
      </c>
      <c r="D5" s="8">
        <v>22136522</v>
      </c>
      <c r="E5" s="2">
        <v>18609958</v>
      </c>
      <c r="F5" s="2">
        <v>16195262</v>
      </c>
    </row>
    <row r="6" spans="1:6" x14ac:dyDescent="0.25">
      <c r="A6" s="1" t="s">
        <v>38</v>
      </c>
    </row>
    <row r="7" spans="1:6" x14ac:dyDescent="0.25">
      <c r="A7" s="1" t="s">
        <v>39</v>
      </c>
      <c r="B7" s="2">
        <v>4785268</v>
      </c>
      <c r="C7" s="2">
        <v>3991285</v>
      </c>
      <c r="D7" s="8">
        <v>3616428</v>
      </c>
      <c r="E7" s="2">
        <v>3116070</v>
      </c>
      <c r="F7" s="2">
        <v>2706794</v>
      </c>
    </row>
    <row r="8" spans="1:6" x14ac:dyDescent="0.25">
      <c r="A8" s="1" t="s">
        <v>40</v>
      </c>
      <c r="B8" s="3">
        <v>421964</v>
      </c>
      <c r="C8" s="3">
        <v>273524</v>
      </c>
      <c r="D8" s="2">
        <v>274440</v>
      </c>
      <c r="E8" s="2">
        <v>231312</v>
      </c>
      <c r="F8" s="2">
        <v>302894</v>
      </c>
    </row>
    <row r="9" spans="1:6" x14ac:dyDescent="0.25">
      <c r="A9" s="1" t="s">
        <v>41</v>
      </c>
      <c r="B9" s="2">
        <v>3123524</v>
      </c>
      <c r="C9" s="2">
        <v>2673493</v>
      </c>
      <c r="D9" s="2">
        <v>2507707</v>
      </c>
      <c r="E9" s="2">
        <v>1596027</v>
      </c>
      <c r="F9" s="2">
        <v>843032</v>
      </c>
    </row>
    <row r="10" spans="1:6" x14ac:dyDescent="0.25">
      <c r="A10" s="1" t="s">
        <v>42</v>
      </c>
      <c r="B10" s="4" t="s">
        <v>5</v>
      </c>
      <c r="C10" s="4" t="s">
        <v>5</v>
      </c>
      <c r="D10" s="4" t="s">
        <v>5</v>
      </c>
      <c r="E10" s="4" t="s">
        <v>5</v>
      </c>
      <c r="F10" s="4" t="s">
        <v>5</v>
      </c>
    </row>
    <row r="11" spans="1:6" x14ac:dyDescent="0.25">
      <c r="A11" s="1" t="s">
        <v>43</v>
      </c>
      <c r="B11" s="5">
        <v>814724</v>
      </c>
      <c r="C11" s="5">
        <v>2555400</v>
      </c>
      <c r="D11" s="5">
        <v>739351</v>
      </c>
      <c r="E11" s="5">
        <v>260103</v>
      </c>
      <c r="F11" s="5">
        <v>2063043</v>
      </c>
    </row>
    <row r="12" spans="1:6" x14ac:dyDescent="0.25">
      <c r="A12" s="1" t="s">
        <v>44</v>
      </c>
      <c r="B12" s="2">
        <v>402118</v>
      </c>
      <c r="C12" s="2">
        <v>349438</v>
      </c>
      <c r="D12" s="2">
        <v>266102</v>
      </c>
      <c r="E12" s="2">
        <v>418081</v>
      </c>
      <c r="F12" s="2">
        <v>200341</v>
      </c>
    </row>
    <row r="13" spans="1:6" x14ac:dyDescent="0.25">
      <c r="A13" s="1" t="s">
        <v>45</v>
      </c>
      <c r="B13" s="2">
        <v>9547598</v>
      </c>
      <c r="C13" s="2">
        <v>9843140</v>
      </c>
      <c r="D13" s="8">
        <v>7404028</v>
      </c>
      <c r="E13" s="2">
        <v>5621593</v>
      </c>
      <c r="F13" s="2">
        <v>6116104</v>
      </c>
    </row>
    <row r="14" spans="1:6" x14ac:dyDescent="0.25">
      <c r="A14" s="1" t="s">
        <v>46</v>
      </c>
      <c r="B14" s="2">
        <v>41977144</v>
      </c>
      <c r="C14" s="2">
        <v>40118921</v>
      </c>
      <c r="D14" s="8">
        <v>29540550</v>
      </c>
      <c r="E14" s="2">
        <v>24231551</v>
      </c>
      <c r="F14" s="2">
        <v>22311366</v>
      </c>
    </row>
    <row r="15" spans="1:6" x14ac:dyDescent="0.25">
      <c r="A15" s="1" t="s">
        <v>47</v>
      </c>
    </row>
    <row r="16" spans="1:6" x14ac:dyDescent="0.25">
      <c r="A16" s="1" t="s">
        <v>48</v>
      </c>
      <c r="B16" s="2">
        <v>21017376</v>
      </c>
      <c r="C16" s="2">
        <v>20217974</v>
      </c>
      <c r="D16" s="8">
        <v>18235061</v>
      </c>
      <c r="E16" s="2">
        <v>16240514</v>
      </c>
      <c r="F16" s="2">
        <v>14948796</v>
      </c>
    </row>
    <row r="17" spans="1:6" x14ac:dyDescent="0.25">
      <c r="A17" s="1" t="s">
        <v>49</v>
      </c>
      <c r="B17" s="2">
        <v>213484</v>
      </c>
      <c r="C17" s="2">
        <v>42982</v>
      </c>
      <c r="D17" s="2">
        <v>42117</v>
      </c>
      <c r="E17" s="3">
        <v>-540060</v>
      </c>
      <c r="F17" s="2">
        <v>169833</v>
      </c>
    </row>
    <row r="18" spans="1:6" x14ac:dyDescent="0.25">
      <c r="A18" s="1" t="s">
        <v>50</v>
      </c>
      <c r="B18" s="3">
        <v>90139</v>
      </c>
      <c r="C18" s="3">
        <v>48149</v>
      </c>
      <c r="D18" s="3">
        <v>99947</v>
      </c>
      <c r="E18" s="3">
        <v>191067</v>
      </c>
      <c r="F18" s="3">
        <v>23568</v>
      </c>
    </row>
    <row r="19" spans="1:6" x14ac:dyDescent="0.25">
      <c r="B19" s="2">
        <v>21320999</v>
      </c>
      <c r="C19" s="2">
        <v>20309105</v>
      </c>
      <c r="D19" s="8">
        <v>18377125</v>
      </c>
      <c r="E19" s="2">
        <v>15891521</v>
      </c>
      <c r="F19" s="2">
        <v>15142197</v>
      </c>
    </row>
    <row r="20" spans="1:6" x14ac:dyDescent="0.25">
      <c r="A20" s="1" t="s">
        <v>51</v>
      </c>
      <c r="B20" s="2">
        <v>20656145</v>
      </c>
      <c r="C20" s="2">
        <v>19809816</v>
      </c>
      <c r="D20" s="8">
        <v>11163425</v>
      </c>
      <c r="E20" s="2">
        <v>8340030</v>
      </c>
      <c r="F20" s="2">
        <v>7169169</v>
      </c>
    </row>
    <row r="21" spans="1:6" ht="15.75" customHeight="1" x14ac:dyDescent="0.25">
      <c r="A21" s="1" t="s">
        <v>52</v>
      </c>
      <c r="B21" s="2">
        <v>4983944</v>
      </c>
      <c r="C21" s="2">
        <v>1974747</v>
      </c>
      <c r="D21" s="3">
        <v>773275</v>
      </c>
      <c r="E21" s="3">
        <v>1460575</v>
      </c>
      <c r="F21" s="3">
        <v>-1176432</v>
      </c>
    </row>
    <row r="22" spans="1:6" ht="15.75" customHeight="1" x14ac:dyDescent="0.25">
      <c r="A22" s="1" t="s">
        <v>53</v>
      </c>
      <c r="B22" s="4" t="s">
        <v>5</v>
      </c>
      <c r="C22" s="4" t="s">
        <v>5</v>
      </c>
      <c r="D22" s="13" t="s">
        <v>5</v>
      </c>
      <c r="E22" s="13" t="s">
        <v>5</v>
      </c>
      <c r="F22" s="13" t="s">
        <v>5</v>
      </c>
    </row>
    <row r="23" spans="1:6" ht="15.75" customHeight="1" x14ac:dyDescent="0.25">
      <c r="A23" s="1" t="s">
        <v>54</v>
      </c>
      <c r="B23" s="2">
        <v>15672201</v>
      </c>
      <c r="C23" s="2">
        <v>17835069</v>
      </c>
      <c r="D23" s="8">
        <v>10390150</v>
      </c>
      <c r="E23" s="2">
        <v>6879455</v>
      </c>
      <c r="F23" s="2">
        <v>8345601</v>
      </c>
    </row>
    <row r="24" spans="1:6" ht="15.75" customHeight="1" x14ac:dyDescent="0.25">
      <c r="A24" s="1" t="s">
        <v>55</v>
      </c>
      <c r="B24" s="2">
        <v>-5956468</v>
      </c>
      <c r="C24" s="2">
        <v>-6978072</v>
      </c>
      <c r="D24" s="2">
        <v>3372249</v>
      </c>
      <c r="E24" s="2">
        <v>-2448177</v>
      </c>
      <c r="F24" s="2">
        <v>-3223915</v>
      </c>
    </row>
    <row r="25" spans="1:6" ht="15.75" customHeight="1" x14ac:dyDescent="0.25">
      <c r="A25" s="1" t="s">
        <v>56</v>
      </c>
      <c r="B25" s="2">
        <v>9715733</v>
      </c>
      <c r="C25" s="2">
        <v>10856997</v>
      </c>
      <c r="D25" s="8">
        <v>7017901</v>
      </c>
      <c r="E25" s="2">
        <v>4431278</v>
      </c>
      <c r="F25" s="2">
        <v>5121686</v>
      </c>
    </row>
    <row r="26" spans="1:6" ht="15.75" customHeight="1" x14ac:dyDescent="0.25">
      <c r="A26" s="1" t="s">
        <v>57</v>
      </c>
      <c r="D26" s="6">
        <v>14669</v>
      </c>
      <c r="E26" s="3">
        <v>-2659</v>
      </c>
      <c r="F26" s="3">
        <v>6611</v>
      </c>
    </row>
    <row r="27" spans="1:6" ht="15.75" customHeight="1" x14ac:dyDescent="0.25">
      <c r="A27" s="1" t="s">
        <v>58</v>
      </c>
    </row>
    <row r="28" spans="1:6" ht="15.75" customHeight="1" x14ac:dyDescent="0.25">
      <c r="A28" s="1" t="s">
        <v>59</v>
      </c>
      <c r="B28" s="2">
        <v>9715733</v>
      </c>
      <c r="C28" s="2">
        <v>10846333</v>
      </c>
      <c r="D28" s="8">
        <v>7028756</v>
      </c>
      <c r="E28" s="2">
        <v>4429310</v>
      </c>
      <c r="F28" s="2">
        <v>5121863</v>
      </c>
    </row>
    <row r="29" spans="1:6" ht="15.75" customHeight="1" x14ac:dyDescent="0.25">
      <c r="A29" s="1" t="s">
        <v>32</v>
      </c>
      <c r="B29" s="4" t="s">
        <v>5</v>
      </c>
      <c r="C29" s="3">
        <v>10664</v>
      </c>
      <c r="D29" s="3">
        <v>3814</v>
      </c>
      <c r="E29" s="13">
        <v>-691</v>
      </c>
      <c r="F29" s="3">
        <v>6434</v>
      </c>
    </row>
    <row r="30" spans="1:6" ht="15.75" customHeight="1" x14ac:dyDescent="0.25">
      <c r="A30" s="1"/>
      <c r="B30" s="2">
        <v>9715733</v>
      </c>
      <c r="C30" s="2">
        <v>10856997</v>
      </c>
      <c r="D30" s="3">
        <f>SUM(D28:D29)</f>
        <v>7032570</v>
      </c>
      <c r="E30" s="3">
        <v>4428619</v>
      </c>
      <c r="F30" s="2">
        <v>5128297</v>
      </c>
    </row>
    <row r="31" spans="1:6" ht="15.75" customHeight="1" x14ac:dyDescent="0.25">
      <c r="A31" s="1"/>
    </row>
    <row r="32" spans="1:6" ht="15.75" customHeight="1" x14ac:dyDescent="0.25">
      <c r="A32" s="1" t="s">
        <v>60</v>
      </c>
      <c r="B32" s="4">
        <v>7.71</v>
      </c>
      <c r="C32" s="13">
        <v>8.61</v>
      </c>
      <c r="D32" s="14">
        <v>5.58</v>
      </c>
      <c r="E32" s="4">
        <v>3.51</v>
      </c>
      <c r="F32" s="4">
        <v>4.0599999999999996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2"/>
  <sheetViews>
    <sheetView tabSelected="1" topLeftCell="A10" zoomScale="110" zoomScaleNormal="110" workbookViewId="0">
      <selection activeCell="F97" sqref="F97"/>
    </sheetView>
  </sheetViews>
  <sheetFormatPr defaultColWidth="14.42578125" defaultRowHeight="15" customHeight="1" x14ac:dyDescent="0.25"/>
  <cols>
    <col min="1" max="1" width="11.42578125" customWidth="1"/>
    <col min="2" max="2" width="51.140625" bestFit="1" customWidth="1"/>
    <col min="3" max="7" width="32.7109375" bestFit="1" customWidth="1"/>
  </cols>
  <sheetData>
    <row r="1" spans="1:7" x14ac:dyDescent="0.25">
      <c r="C1" s="1">
        <v>2021</v>
      </c>
      <c r="D1" s="1">
        <v>2020</v>
      </c>
      <c r="E1" s="1">
        <v>2019</v>
      </c>
      <c r="F1" s="1">
        <v>2018</v>
      </c>
      <c r="G1" s="1">
        <v>2017</v>
      </c>
    </row>
    <row r="13" spans="1:7" hidden="1" x14ac:dyDescent="0.25">
      <c r="A13" s="6"/>
      <c r="B13" s="6" t="s">
        <v>61</v>
      </c>
    </row>
    <row r="14" spans="1:7" hidden="1" x14ac:dyDescent="0.25">
      <c r="A14" s="6"/>
      <c r="B14" s="6" t="s">
        <v>62</v>
      </c>
      <c r="C14" s="15">
        <v>477673022</v>
      </c>
      <c r="D14" s="10">
        <v>395416055</v>
      </c>
      <c r="E14" s="15">
        <v>372913863</v>
      </c>
      <c r="F14" s="16">
        <v>343107147</v>
      </c>
      <c r="G14" s="15">
        <v>258693086</v>
      </c>
    </row>
    <row r="15" spans="1:7" hidden="1" x14ac:dyDescent="0.25">
      <c r="A15" s="6"/>
      <c r="B15" s="6" t="s">
        <v>6</v>
      </c>
      <c r="C15" s="15">
        <v>616231172</v>
      </c>
      <c r="D15" s="15">
        <v>449611987</v>
      </c>
      <c r="E15" s="15">
        <v>305435633</v>
      </c>
      <c r="F15" s="15">
        <v>260233987</v>
      </c>
      <c r="G15" s="15">
        <v>314956748</v>
      </c>
    </row>
    <row r="16" spans="1:7" hidden="1" x14ac:dyDescent="0.25">
      <c r="A16" s="6"/>
      <c r="B16" s="6" t="s">
        <v>63</v>
      </c>
      <c r="C16" s="6">
        <v>0</v>
      </c>
      <c r="D16" s="6">
        <v>0</v>
      </c>
      <c r="E16" s="15">
        <v>20405972</v>
      </c>
      <c r="F16" s="6">
        <v>0</v>
      </c>
      <c r="G16" s="15">
        <v>2250000</v>
      </c>
    </row>
    <row r="17" spans="1:7" hidden="1" x14ac:dyDescent="0.25">
      <c r="A17" s="6"/>
      <c r="B17" s="6" t="s">
        <v>64</v>
      </c>
      <c r="C17" s="15">
        <v>3556215</v>
      </c>
      <c r="D17" s="17">
        <v>8196147</v>
      </c>
      <c r="E17" s="15">
        <v>7886702</v>
      </c>
      <c r="F17" s="16">
        <v>4093402</v>
      </c>
      <c r="G17" s="15">
        <v>3193835</v>
      </c>
    </row>
    <row r="18" spans="1:7" hidden="1" x14ac:dyDescent="0.25">
      <c r="A18" s="18"/>
      <c r="B18" s="18" t="s">
        <v>65</v>
      </c>
      <c r="C18" s="10">
        <f t="shared" ref="C18:G18" si="0">SUM(C14:C17)</f>
        <v>1097460409</v>
      </c>
      <c r="D18" s="10">
        <f t="shared" si="0"/>
        <v>853224189</v>
      </c>
      <c r="E18" s="10">
        <f t="shared" si="0"/>
        <v>706642170</v>
      </c>
      <c r="F18" s="10">
        <f t="shared" si="0"/>
        <v>607434536</v>
      </c>
      <c r="G18" s="10">
        <f t="shared" si="0"/>
        <v>579093669</v>
      </c>
    </row>
    <row r="19" spans="1:7" ht="15" hidden="1" customHeight="1" x14ac:dyDescent="0.25"/>
    <row r="20" spans="1:7" hidden="1" x14ac:dyDescent="0.25">
      <c r="A20" s="6"/>
      <c r="B20" s="6" t="s">
        <v>66</v>
      </c>
    </row>
    <row r="21" spans="1:7" hidden="1" x14ac:dyDescent="0.25">
      <c r="A21" s="6"/>
      <c r="B21" s="6" t="s">
        <v>67</v>
      </c>
      <c r="C21" s="10">
        <v>222888771</v>
      </c>
      <c r="D21" s="10">
        <v>539726821</v>
      </c>
      <c r="E21" s="10">
        <v>484456138</v>
      </c>
      <c r="F21" s="10">
        <v>404040078</v>
      </c>
      <c r="G21" s="10">
        <v>381975947</v>
      </c>
    </row>
    <row r="22" spans="1:7" hidden="1" x14ac:dyDescent="0.25">
      <c r="A22" s="6"/>
      <c r="B22" s="6" t="s">
        <v>68</v>
      </c>
      <c r="C22" s="15">
        <v>790982287</v>
      </c>
      <c r="D22" s="15">
        <v>1030588</v>
      </c>
      <c r="E22" s="15">
        <v>194254257</v>
      </c>
      <c r="F22" s="15">
        <v>168745407</v>
      </c>
      <c r="G22" s="15">
        <v>143678468</v>
      </c>
    </row>
    <row r="23" spans="1:7" hidden="1" x14ac:dyDescent="0.25">
      <c r="A23" s="6"/>
      <c r="B23" s="6" t="s">
        <v>68</v>
      </c>
      <c r="C23" s="15">
        <v>1291196</v>
      </c>
      <c r="D23" s="15">
        <v>250224878</v>
      </c>
      <c r="E23" s="15">
        <v>535917</v>
      </c>
      <c r="F23" s="15">
        <v>811441</v>
      </c>
      <c r="G23" s="15">
        <v>150636</v>
      </c>
    </row>
    <row r="24" spans="1:7" hidden="1" x14ac:dyDescent="0.25">
      <c r="A24" s="6"/>
      <c r="B24" s="6" t="s">
        <v>16</v>
      </c>
      <c r="C24" s="15">
        <v>123563761</v>
      </c>
      <c r="D24" s="16">
        <v>84163669</v>
      </c>
      <c r="E24" s="15">
        <v>51187681</v>
      </c>
      <c r="F24" s="16">
        <v>52702323</v>
      </c>
      <c r="G24" s="15">
        <v>71587311</v>
      </c>
    </row>
    <row r="25" spans="1:7" hidden="1" x14ac:dyDescent="0.25">
      <c r="A25" s="6"/>
      <c r="B25" s="6" t="s">
        <v>69</v>
      </c>
      <c r="C25" s="15">
        <v>12000000</v>
      </c>
      <c r="D25" s="16">
        <v>12000000</v>
      </c>
      <c r="E25" s="15">
        <v>9992000</v>
      </c>
      <c r="F25" s="15">
        <v>9993600</v>
      </c>
      <c r="G25" s="19">
        <v>4992800</v>
      </c>
    </row>
    <row r="26" spans="1:7" hidden="1" x14ac:dyDescent="0.25">
      <c r="A26" s="6"/>
      <c r="B26" s="6" t="s">
        <v>70</v>
      </c>
      <c r="C26" s="15">
        <v>7393878</v>
      </c>
      <c r="D26" s="16">
        <v>8223995</v>
      </c>
      <c r="E26" s="15">
        <v>970082</v>
      </c>
      <c r="F26" s="6">
        <v>0</v>
      </c>
      <c r="G26" s="6">
        <v>0</v>
      </c>
    </row>
    <row r="27" spans="1:7" hidden="1" x14ac:dyDescent="0.25">
      <c r="A27" s="20"/>
      <c r="B27" s="20" t="s">
        <v>71</v>
      </c>
      <c r="C27" s="10">
        <f t="shared" ref="C27:G27" si="1">SUM(C21:C26)</f>
        <v>1158119893</v>
      </c>
      <c r="D27" s="10">
        <f t="shared" si="1"/>
        <v>895369951</v>
      </c>
      <c r="E27" s="10">
        <f t="shared" si="1"/>
        <v>741396075</v>
      </c>
      <c r="F27" s="10">
        <f t="shared" si="1"/>
        <v>636292849</v>
      </c>
      <c r="G27" s="10">
        <f t="shared" si="1"/>
        <v>602385162</v>
      </c>
    </row>
    <row r="28" spans="1:7" ht="27" customHeight="1" x14ac:dyDescent="0.25">
      <c r="A28" s="23"/>
    </row>
    <row r="29" spans="1:7" hidden="1" x14ac:dyDescent="0.25">
      <c r="A29" s="23"/>
      <c r="B29" s="6" t="s">
        <v>72</v>
      </c>
      <c r="C29" s="10">
        <f>'Income Statement'!B25</f>
        <v>9715733</v>
      </c>
      <c r="D29" s="10">
        <f>'Income Statement'!C25</f>
        <v>10856997</v>
      </c>
      <c r="E29" s="10">
        <f>'Income Statement'!D25</f>
        <v>7017901</v>
      </c>
      <c r="F29" s="10">
        <f>'Income Statement'!E25</f>
        <v>4431278</v>
      </c>
      <c r="G29" s="10">
        <f>'Income Statement'!F25</f>
        <v>5121686</v>
      </c>
    </row>
    <row r="30" spans="1:7" ht="27" hidden="1" customHeight="1" x14ac:dyDescent="0.25">
      <c r="A30" s="23"/>
      <c r="B30" s="6" t="s">
        <v>73</v>
      </c>
      <c r="C30" s="10">
        <f>'Balance Sheet'!B41</f>
        <v>56040863</v>
      </c>
      <c r="D30" s="10">
        <f>'Balance Sheet'!C41</f>
        <v>54681275</v>
      </c>
      <c r="E30" s="10">
        <f>'Balance Sheet'!D41</f>
        <v>42402183</v>
      </c>
      <c r="F30" s="10">
        <f>'Balance Sheet'!E41</f>
        <v>33600361</v>
      </c>
      <c r="G30" s="10">
        <f>'Balance Sheet'!F41</f>
        <v>32545236</v>
      </c>
    </row>
    <row r="31" spans="1:7" ht="27" hidden="1" customHeight="1" x14ac:dyDescent="0.25">
      <c r="A31" s="23"/>
      <c r="B31" s="6" t="s">
        <v>13</v>
      </c>
      <c r="C31" s="10">
        <f>'Balance Sheet'!B17</f>
        <v>1259328610</v>
      </c>
      <c r="D31" s="10">
        <f>'Balance Sheet'!C17</f>
        <v>992886661</v>
      </c>
      <c r="E31" s="10">
        <f>'Balance Sheet'!D17</f>
        <v>833443027</v>
      </c>
      <c r="F31" s="10">
        <f>'Balance Sheet'!E17</f>
        <v>706666079</v>
      </c>
      <c r="G31" s="10">
        <f>'Balance Sheet'!F17</f>
        <v>662938624</v>
      </c>
    </row>
    <row r="32" spans="1:7" ht="27" hidden="1" customHeight="1" x14ac:dyDescent="0.25">
      <c r="A32" s="23"/>
      <c r="B32" s="6" t="s">
        <v>74</v>
      </c>
      <c r="C32" s="10">
        <f>'Income Statement'!B5-'Income Statement'!B19</f>
        <v>11108547</v>
      </c>
      <c r="D32" s="10">
        <f>'Income Statement'!C5-'Income Statement'!C19</f>
        <v>9966676</v>
      </c>
      <c r="E32" s="10">
        <f>'Income Statement'!D5-'Income Statement'!D19</f>
        <v>3759397</v>
      </c>
      <c r="F32" s="10">
        <f>'Income Statement'!E5-'Income Statement'!E19</f>
        <v>2718437</v>
      </c>
      <c r="G32" s="10">
        <f>'Income Statement'!F5-'Income Statement'!F19</f>
        <v>1053065</v>
      </c>
    </row>
    <row r="33" spans="1:29" ht="27" hidden="1" customHeight="1" x14ac:dyDescent="0.25">
      <c r="A33" s="23"/>
    </row>
    <row r="34" spans="1:29" hidden="1" x14ac:dyDescent="0.25">
      <c r="A34" s="23">
        <v>2</v>
      </c>
    </row>
    <row r="35" spans="1:29" hidden="1" x14ac:dyDescent="0.25">
      <c r="A35" s="23">
        <v>3</v>
      </c>
    </row>
    <row r="36" spans="1:29" hidden="1" x14ac:dyDescent="0.25">
      <c r="A36" s="23">
        <v>4</v>
      </c>
    </row>
    <row r="37" spans="1:29" hidden="1" x14ac:dyDescent="0.25">
      <c r="A37" s="23">
        <v>5</v>
      </c>
    </row>
    <row r="38" spans="1:29" hidden="1" x14ac:dyDescent="0.25">
      <c r="A38" s="23">
        <v>6</v>
      </c>
    </row>
    <row r="39" spans="1:29" ht="15" hidden="1" customHeight="1" x14ac:dyDescent="0.25">
      <c r="A39" s="23"/>
    </row>
    <row r="40" spans="1:29" hidden="1" x14ac:dyDescent="0.25">
      <c r="A40" s="23"/>
      <c r="B40" s="21" t="s">
        <v>75</v>
      </c>
    </row>
    <row r="41" spans="1:29" hidden="1" x14ac:dyDescent="0.25">
      <c r="A41" s="23"/>
      <c r="B41" s="1" t="s">
        <v>46</v>
      </c>
      <c r="C41" s="2">
        <v>41977144</v>
      </c>
      <c r="D41" s="2">
        <v>40118921</v>
      </c>
      <c r="E41" s="8">
        <v>29540550</v>
      </c>
      <c r="F41" s="2">
        <v>24231551</v>
      </c>
      <c r="G41" s="2">
        <v>22311366</v>
      </c>
      <c r="S41" s="21" t="s">
        <v>76</v>
      </c>
      <c r="Y41" s="6">
        <v>2021</v>
      </c>
      <c r="Z41" s="6">
        <v>2020</v>
      </c>
      <c r="AA41" s="6">
        <v>2019</v>
      </c>
      <c r="AB41" s="6">
        <v>2018</v>
      </c>
      <c r="AC41" s="6">
        <v>2017</v>
      </c>
    </row>
    <row r="42" spans="1:29" hidden="1" x14ac:dyDescent="0.25">
      <c r="A42" s="23"/>
      <c r="B42" s="1" t="s">
        <v>48</v>
      </c>
      <c r="C42" s="2">
        <v>21017376</v>
      </c>
      <c r="D42" s="2">
        <v>20217974</v>
      </c>
      <c r="E42" s="8">
        <v>18235061</v>
      </c>
      <c r="F42" s="2">
        <v>16240514</v>
      </c>
      <c r="G42" s="2">
        <v>14948796</v>
      </c>
      <c r="S42" s="6" t="s">
        <v>77</v>
      </c>
      <c r="T42" s="6">
        <v>13</v>
      </c>
      <c r="U42" s="22" t="s">
        <v>78</v>
      </c>
      <c r="V42" s="22"/>
      <c r="W42" s="22"/>
    </row>
    <row r="43" spans="1:29" hidden="1" x14ac:dyDescent="0.25">
      <c r="A43" s="23"/>
      <c r="B43" s="7" t="s">
        <v>13</v>
      </c>
      <c r="C43" s="2">
        <v>1259328610</v>
      </c>
      <c r="D43" s="2">
        <v>992886661</v>
      </c>
      <c r="E43" s="8">
        <v>833443027</v>
      </c>
      <c r="F43" s="2">
        <v>706666079</v>
      </c>
      <c r="G43" s="2">
        <v>662938624</v>
      </c>
      <c r="S43" s="6" t="s">
        <v>79</v>
      </c>
      <c r="T43" s="6">
        <v>14</v>
      </c>
      <c r="U43" s="6" t="s">
        <v>80</v>
      </c>
      <c r="W43" s="22"/>
      <c r="Y43" s="4">
        <f t="shared" ref="Y43:AC43" si="2">C25/C14</f>
        <v>2.5121787179347967E-2</v>
      </c>
      <c r="Z43" s="4">
        <f t="shared" si="2"/>
        <v>3.0347781402047521E-2</v>
      </c>
      <c r="AA43" s="4">
        <f t="shared" si="2"/>
        <v>2.6794391390056745E-2</v>
      </c>
      <c r="AB43" s="4">
        <f t="shared" si="2"/>
        <v>2.9126761384542073E-2</v>
      </c>
      <c r="AC43" s="4">
        <f t="shared" si="2"/>
        <v>1.9300090610075291E-2</v>
      </c>
    </row>
    <row r="44" spans="1:29" hidden="1" x14ac:dyDescent="0.25">
      <c r="A44" s="23"/>
      <c r="S44" s="6" t="s">
        <v>79</v>
      </c>
      <c r="T44" s="6">
        <v>15</v>
      </c>
      <c r="U44" s="6" t="s">
        <v>81</v>
      </c>
      <c r="W44" s="22"/>
    </row>
    <row r="45" spans="1:29" hidden="1" x14ac:dyDescent="0.25">
      <c r="A45" s="23"/>
      <c r="S45" s="6" t="s">
        <v>79</v>
      </c>
      <c r="T45" s="6">
        <v>16</v>
      </c>
      <c r="U45" s="6" t="s">
        <v>82</v>
      </c>
      <c r="W45" s="22"/>
    </row>
    <row r="46" spans="1:29" hidden="1" x14ac:dyDescent="0.25">
      <c r="A46" s="23"/>
      <c r="S46" s="6" t="s">
        <v>79</v>
      </c>
      <c r="T46" s="6">
        <v>17</v>
      </c>
      <c r="U46" s="6" t="s">
        <v>83</v>
      </c>
      <c r="W46" s="22"/>
      <c r="Y46" s="4">
        <f>'Income Statement'!B21/'Balance Sheet'!B41</f>
        <v>8.8934105101129507E-2</v>
      </c>
      <c r="Z46" s="4">
        <f>'Income Statement'!C21/'Balance Sheet'!C41</f>
        <v>3.6113770207443038E-2</v>
      </c>
      <c r="AA46" s="4">
        <f>'Income Statement'!D21/'Balance Sheet'!D41</f>
        <v>1.8236678993626344E-2</v>
      </c>
      <c r="AB46" s="4">
        <f>'Income Statement'!E21/'Balance Sheet'!E41</f>
        <v>4.3469027014322849E-2</v>
      </c>
      <c r="AC46" s="4">
        <f>'Income Statement'!F21/'Balance Sheet'!F41</f>
        <v>-3.614759468943473E-2</v>
      </c>
    </row>
    <row r="47" spans="1:29" hidden="1" x14ac:dyDescent="0.25">
      <c r="A47" s="23"/>
      <c r="S47" s="6" t="s">
        <v>79</v>
      </c>
      <c r="T47" s="6">
        <v>18</v>
      </c>
      <c r="U47" s="6" t="s">
        <v>84</v>
      </c>
      <c r="W47" s="22"/>
      <c r="Y47" s="4">
        <f>'Income Statement'!B21/C14</f>
        <v>1.0433798373482352E-2</v>
      </c>
      <c r="Z47" s="4">
        <f>'Income Statement'!C21/D14</f>
        <v>4.994099190029095E-3</v>
      </c>
      <c r="AA47" s="4">
        <f>'Income Statement'!D21/E14</f>
        <v>2.0736021819601808E-3</v>
      </c>
      <c r="AB47" s="4">
        <f>'Income Statement'!E21/F14</f>
        <v>4.2569063710001936E-3</v>
      </c>
      <c r="AC47" s="4">
        <f>'Income Statement'!F21/G14</f>
        <v>-4.5475973795449636E-3</v>
      </c>
    </row>
    <row r="48" spans="1:29" hidden="1" x14ac:dyDescent="0.25">
      <c r="A48" s="23"/>
      <c r="Y48" s="6">
        <v>2021</v>
      </c>
      <c r="Z48" s="6">
        <v>2020</v>
      </c>
      <c r="AA48" s="6">
        <v>2019</v>
      </c>
      <c r="AB48" s="6">
        <v>2018</v>
      </c>
      <c r="AC48" s="6">
        <v>2017</v>
      </c>
    </row>
    <row r="49" spans="1:29" hidden="1" x14ac:dyDescent="0.25">
      <c r="A49" s="23"/>
      <c r="U49" s="23" t="s">
        <v>85</v>
      </c>
      <c r="Y49" s="4">
        <f>'Income Statement'!B25/'Income Statement'!B23</f>
        <v>0.61993417516786575</v>
      </c>
      <c r="Z49" s="4">
        <f>'Income Statement'!C25/'Income Statement'!C23</f>
        <v>0.60874432277217427</v>
      </c>
      <c r="AA49" s="4">
        <f>'Income Statement'!D25/'Income Statement'!D23</f>
        <v>0.67543789069455207</v>
      </c>
      <c r="AB49" s="4">
        <f>'Income Statement'!E25/'Income Statement'!E23</f>
        <v>0.64413212965271227</v>
      </c>
      <c r="AC49" s="4">
        <f>'Income Statement'!F25/'Income Statement'!F23</f>
        <v>0.61369888160241548</v>
      </c>
    </row>
    <row r="50" spans="1:29" hidden="1" x14ac:dyDescent="0.25">
      <c r="A50" s="23"/>
      <c r="U50" s="24" t="s">
        <v>86</v>
      </c>
    </row>
    <row r="51" spans="1:29" hidden="1" x14ac:dyDescent="0.25">
      <c r="A51" s="23"/>
      <c r="U51" s="25" t="s">
        <v>87</v>
      </c>
      <c r="Y51" s="4">
        <f t="shared" ref="Y51:AC51" si="3">C32/C31</f>
        <v>8.8210074096545781E-3</v>
      </c>
      <c r="Z51" s="4">
        <f t="shared" si="3"/>
        <v>1.003808026785446E-2</v>
      </c>
      <c r="AA51" s="4">
        <f t="shared" si="3"/>
        <v>4.510682648017403E-3</v>
      </c>
      <c r="AB51" s="4">
        <f t="shared" si="3"/>
        <v>3.8468480103740765E-3</v>
      </c>
      <c r="AC51" s="4">
        <f t="shared" si="3"/>
        <v>1.5884803839699042E-3</v>
      </c>
    </row>
    <row r="52" spans="1:29" hidden="1" x14ac:dyDescent="0.25">
      <c r="A52" s="23"/>
      <c r="U52" s="25" t="s">
        <v>88</v>
      </c>
      <c r="Y52" s="4">
        <f>'Balance Sheet'!B17/'Balance Sheet'!B41</f>
        <v>22.471613436788079</v>
      </c>
      <c r="Z52" s="4">
        <f>'Balance Sheet'!C17/'Balance Sheet'!C41</f>
        <v>18.157708667180859</v>
      </c>
      <c r="AA52" s="4">
        <f>'Balance Sheet'!D17/'Balance Sheet'!D41</f>
        <v>19.655663176586923</v>
      </c>
      <c r="AB52" s="4">
        <f>'Balance Sheet'!E17/'Balance Sheet'!E41</f>
        <v>21.031502578201465</v>
      </c>
      <c r="AC52" s="4">
        <f>'Balance Sheet'!F17/'Balance Sheet'!F41</f>
        <v>20.369759309780392</v>
      </c>
    </row>
    <row r="53" spans="1:29" hidden="1" x14ac:dyDescent="0.25">
      <c r="A53" s="23"/>
      <c r="Y53" s="4">
        <f t="shared" ref="Y53:AC53" si="4">Y49*Y50*Y51*Y52</f>
        <v>0</v>
      </c>
      <c r="Z53" s="4">
        <f t="shared" si="4"/>
        <v>0</v>
      </c>
      <c r="AA53" s="4">
        <f t="shared" si="4"/>
        <v>0</v>
      </c>
      <c r="AB53" s="4">
        <f t="shared" si="4"/>
        <v>0</v>
      </c>
      <c r="AC53" s="4">
        <f t="shared" si="4"/>
        <v>0</v>
      </c>
    </row>
    <row r="54" spans="1:29" ht="15" hidden="1" customHeight="1" x14ac:dyDescent="0.25">
      <c r="A54" s="23"/>
    </row>
    <row r="55" spans="1:29" ht="15" hidden="1" customHeight="1" x14ac:dyDescent="0.25">
      <c r="A55" s="23"/>
    </row>
    <row r="56" spans="1:29" hidden="1" x14ac:dyDescent="0.25">
      <c r="A56" s="23"/>
      <c r="B56" s="21" t="s">
        <v>89</v>
      </c>
      <c r="C56" s="1">
        <v>2021</v>
      </c>
      <c r="D56" s="1">
        <v>2020</v>
      </c>
      <c r="E56" s="1">
        <v>2019</v>
      </c>
      <c r="F56" s="1">
        <v>2018</v>
      </c>
      <c r="G56" s="1">
        <v>2017</v>
      </c>
    </row>
    <row r="57" spans="1:29" hidden="1" x14ac:dyDescent="0.25">
      <c r="A57" s="23"/>
      <c r="B57" s="26" t="s">
        <v>90</v>
      </c>
      <c r="C57" s="27"/>
      <c r="D57" s="27"/>
      <c r="E57" s="27"/>
      <c r="F57" s="27"/>
      <c r="G57" s="27"/>
    </row>
    <row r="58" spans="1:29" hidden="1" x14ac:dyDescent="0.25">
      <c r="A58" s="23"/>
      <c r="B58" s="26" t="s">
        <v>91</v>
      </c>
      <c r="C58" s="27">
        <f t="shared" ref="C58:G58" si="5">(C61*C60)/(C60*C59)</f>
        <v>2.0145322434150774</v>
      </c>
      <c r="D58" s="27">
        <f t="shared" si="5"/>
        <v>1.8503634031637453</v>
      </c>
      <c r="E58" s="27">
        <f t="shared" si="5"/>
        <v>1.8085221143473571</v>
      </c>
      <c r="F58" s="27">
        <f t="shared" si="5"/>
        <v>1.1116220735785953</v>
      </c>
      <c r="G58" s="27">
        <f t="shared" si="5"/>
        <v>1.332988089073019</v>
      </c>
    </row>
    <row r="59" spans="1:29" hidden="1" x14ac:dyDescent="0.25">
      <c r="A59" s="23"/>
      <c r="B59" s="28" t="s">
        <v>92</v>
      </c>
      <c r="C59" s="28">
        <v>22.02</v>
      </c>
      <c r="D59" s="28">
        <v>23.39</v>
      </c>
      <c r="E59" s="28">
        <v>18.54</v>
      </c>
      <c r="F59" s="28">
        <v>23.92</v>
      </c>
      <c r="G59" s="28">
        <v>19.309999999999999</v>
      </c>
    </row>
    <row r="60" spans="1:29" hidden="1" x14ac:dyDescent="0.25">
      <c r="A60" s="23"/>
      <c r="B60" s="28" t="s">
        <v>93</v>
      </c>
      <c r="C60" s="29">
        <v>1260260180</v>
      </c>
      <c r="D60" s="29">
        <v>1260260180</v>
      </c>
      <c r="E60" s="29">
        <v>1260260180</v>
      </c>
      <c r="F60" s="29">
        <v>1260260180</v>
      </c>
      <c r="G60" s="29">
        <v>1260260180</v>
      </c>
    </row>
    <row r="61" spans="1:29" hidden="1" x14ac:dyDescent="0.25">
      <c r="A61" s="23"/>
      <c r="B61" s="28" t="s">
        <v>94</v>
      </c>
      <c r="C61" s="30">
        <v>44.36</v>
      </c>
      <c r="D61" s="30">
        <v>43.28</v>
      </c>
      <c r="E61" s="30">
        <v>33.53</v>
      </c>
      <c r="F61" s="30">
        <v>26.59</v>
      </c>
      <c r="G61" s="30">
        <v>25.74</v>
      </c>
    </row>
    <row r="62" spans="1:29" hidden="1" x14ac:dyDescent="0.25">
      <c r="A62" s="23"/>
      <c r="B62" s="26" t="s">
        <v>95</v>
      </c>
      <c r="C62" s="27"/>
      <c r="D62" s="27"/>
      <c r="E62" s="27"/>
      <c r="F62" s="27"/>
      <c r="G62" s="27"/>
    </row>
    <row r="63" spans="1:29" hidden="1" x14ac:dyDescent="0.25">
      <c r="A63" s="23"/>
      <c r="B63" s="26" t="s">
        <v>96</v>
      </c>
      <c r="C63" s="27">
        <f t="shared" ref="C63:G63" si="6">C64/C65</f>
        <v>1.3176955341044831</v>
      </c>
      <c r="D63" s="27">
        <f t="shared" si="6"/>
        <v>1.0580940899831748</v>
      </c>
      <c r="E63" s="27">
        <f t="shared" si="6"/>
        <v>1.0312515352074776</v>
      </c>
      <c r="F63" s="27">
        <f t="shared" si="6"/>
        <v>1.0721448468924104</v>
      </c>
      <c r="G63" s="27">
        <f t="shared" si="6"/>
        <v>1.0173813192532266</v>
      </c>
    </row>
    <row r="64" spans="1:29" hidden="1" x14ac:dyDescent="0.25">
      <c r="A64" s="23"/>
      <c r="B64" s="28" t="s">
        <v>97</v>
      </c>
      <c r="C64" s="29">
        <v>1222420697</v>
      </c>
      <c r="D64" s="29">
        <v>956675071</v>
      </c>
      <c r="E64" s="29">
        <v>786642860</v>
      </c>
      <c r="F64" s="29">
        <v>667452221</v>
      </c>
      <c r="G64" s="29">
        <v>633359777</v>
      </c>
    </row>
    <row r="65" spans="1:8" hidden="1" x14ac:dyDescent="0.25">
      <c r="A65" s="23"/>
      <c r="B65" s="28" t="s">
        <v>98</v>
      </c>
      <c r="C65" s="29">
        <v>927695864</v>
      </c>
      <c r="D65" s="29">
        <v>904149338</v>
      </c>
      <c r="E65" s="29">
        <v>762804062</v>
      </c>
      <c r="F65" s="29">
        <v>622539224</v>
      </c>
      <c r="G65" s="29">
        <v>622539224</v>
      </c>
    </row>
    <row r="66" spans="1:8" hidden="1" x14ac:dyDescent="0.25">
      <c r="A66" s="23"/>
      <c r="B66" s="26" t="s">
        <v>99</v>
      </c>
      <c r="C66" s="27">
        <f t="shared" ref="C66:G66" si="7">C67/C68</f>
        <v>0.60150352363038317</v>
      </c>
      <c r="D66" s="27">
        <f t="shared" si="7"/>
        <v>0.95457933838650033</v>
      </c>
      <c r="E66" s="27">
        <f t="shared" si="7"/>
        <v>0.57388256878498511</v>
      </c>
      <c r="F66" s="27">
        <f t="shared" si="7"/>
        <v>0.54748613552497316</v>
      </c>
      <c r="G66" s="27">
        <f t="shared" si="7"/>
        <v>0.54793223807334746</v>
      </c>
      <c r="H66" s="6" t="s">
        <v>100</v>
      </c>
    </row>
    <row r="67" spans="1:8" hidden="1" x14ac:dyDescent="0.25">
      <c r="A67" s="23"/>
      <c r="B67" s="28" t="s">
        <v>101</v>
      </c>
      <c r="C67" s="31">
        <f>C68-404645277000</f>
        <v>610784723000</v>
      </c>
      <c r="D67" s="31">
        <f>D68-35936237000</f>
        <v>755250763000</v>
      </c>
      <c r="E67" s="31">
        <f>E68-289461352000</f>
        <v>389838134000</v>
      </c>
      <c r="F67" s="31">
        <f>F68- 259578178000</f>
        <v>314057678000</v>
      </c>
      <c r="G67" s="31">
        <f>G68-237700985000</f>
        <v>288107323000</v>
      </c>
    </row>
    <row r="68" spans="1:8" hidden="1" x14ac:dyDescent="0.25">
      <c r="A68" s="23"/>
      <c r="B68" s="28" t="s">
        <v>102</v>
      </c>
      <c r="C68" s="29">
        <v>1015430000000</v>
      </c>
      <c r="D68" s="29">
        <v>791187000000</v>
      </c>
      <c r="E68" s="29">
        <v>679299486000</v>
      </c>
      <c r="F68" s="29">
        <v>573635856000</v>
      </c>
      <c r="G68" s="29">
        <v>525808308000</v>
      </c>
    </row>
    <row r="69" spans="1:8" hidden="1" x14ac:dyDescent="0.25">
      <c r="A69" s="23"/>
      <c r="B69" s="26" t="s">
        <v>103</v>
      </c>
      <c r="C69" s="27">
        <f t="shared" ref="C69:G69" si="8">C70/C71</f>
        <v>2.8597402597402595</v>
      </c>
      <c r="D69" s="27">
        <f t="shared" si="8"/>
        <v>2.7292882147024504</v>
      </c>
      <c r="E69" s="27">
        <f t="shared" si="8"/>
        <v>3.328545780969479</v>
      </c>
      <c r="F69" s="27">
        <f t="shared" si="8"/>
        <v>6.7954545454545459</v>
      </c>
      <c r="G69" s="27">
        <f t="shared" si="8"/>
        <v>4.6196172248803826</v>
      </c>
    </row>
    <row r="70" spans="1:8" hidden="1" x14ac:dyDescent="0.25">
      <c r="A70" s="23"/>
      <c r="B70" s="28" t="s">
        <v>104</v>
      </c>
      <c r="C70" s="28">
        <v>22.02</v>
      </c>
      <c r="D70" s="28">
        <v>23.39</v>
      </c>
      <c r="E70" s="28">
        <v>18.54</v>
      </c>
      <c r="F70" s="28">
        <v>23.92</v>
      </c>
      <c r="G70" s="28">
        <v>19.309999999999999</v>
      </c>
    </row>
    <row r="71" spans="1:8" hidden="1" x14ac:dyDescent="0.25">
      <c r="A71" s="23"/>
      <c r="B71" s="28" t="s">
        <v>105</v>
      </c>
      <c r="C71" s="28">
        <v>7.7</v>
      </c>
      <c r="D71" s="28">
        <v>8.57</v>
      </c>
      <c r="E71" s="28">
        <v>5.57</v>
      </c>
      <c r="F71" s="28">
        <v>3.52</v>
      </c>
      <c r="G71" s="28">
        <v>4.18</v>
      </c>
    </row>
    <row r="72" spans="1:8" ht="15" customHeight="1" x14ac:dyDescent="0.25">
      <c r="A72" s="23"/>
    </row>
    <row r="73" spans="1:8" ht="26.25" x14ac:dyDescent="0.4">
      <c r="A73" s="23"/>
      <c r="B73" s="34" t="s">
        <v>123</v>
      </c>
      <c r="C73" s="42">
        <v>2021</v>
      </c>
      <c r="D73" s="42">
        <v>2020</v>
      </c>
      <c r="E73" s="42">
        <v>2019</v>
      </c>
      <c r="F73" s="42">
        <v>2018</v>
      </c>
      <c r="G73" s="42">
        <v>2017</v>
      </c>
    </row>
    <row r="74" spans="1:8" ht="18.75" x14ac:dyDescent="0.3">
      <c r="A74" s="23"/>
      <c r="B74" s="35" t="s">
        <v>106</v>
      </c>
      <c r="C74" s="36">
        <f>SUM('Income Statement'!B25/'Income Statement'!B16)</f>
        <v>0.46227145577069184</v>
      </c>
      <c r="D74" s="36">
        <f>SUM('Income Statement'!C25/'Income Statement'!C16)</f>
        <v>0.53699727776878137</v>
      </c>
      <c r="E74" s="36">
        <f>SUM('Income Statement'!D25/'Income Statement'!D16)</f>
        <v>0.38485755545320083</v>
      </c>
      <c r="F74" s="36">
        <f>SUM('Income Statement'!E25/'Income Statement'!E16)</f>
        <v>0.27285330993834306</v>
      </c>
      <c r="G74" s="36">
        <f>SUM('Income Statement'!F25/'Income Statement'!F16)</f>
        <v>0.34261528486976478</v>
      </c>
      <c r="H74" s="21"/>
    </row>
    <row r="75" spans="1:8" ht="18.75" x14ac:dyDescent="0.3">
      <c r="A75" s="23"/>
      <c r="B75" s="35" t="s">
        <v>113</v>
      </c>
      <c r="C75" s="36">
        <f t="shared" ref="C75:G75" si="9">C29/C30</f>
        <v>0.17336872560295868</v>
      </c>
      <c r="D75" s="36">
        <f t="shared" si="9"/>
        <v>0.19855054586784965</v>
      </c>
      <c r="E75" s="36">
        <f t="shared" si="9"/>
        <v>0.16550801169835996</v>
      </c>
      <c r="F75" s="36">
        <f t="shared" si="9"/>
        <v>0.13188185686457357</v>
      </c>
      <c r="G75" s="36">
        <f t="shared" si="9"/>
        <v>0.15737129698491048</v>
      </c>
      <c r="H75" s="21"/>
    </row>
    <row r="76" spans="1:8" ht="18.75" x14ac:dyDescent="0.3">
      <c r="A76" s="23"/>
      <c r="B76" s="35" t="s">
        <v>114</v>
      </c>
      <c r="C76" s="36">
        <f t="shared" ref="C76:G76" si="10">C29/C31</f>
        <v>7.7150101433810826E-3</v>
      </c>
      <c r="D76" s="36">
        <f t="shared" si="10"/>
        <v>1.0934779795576284E-2</v>
      </c>
      <c r="E76" s="36">
        <f t="shared" si="10"/>
        <v>8.420372806118636E-3</v>
      </c>
      <c r="F76" s="36">
        <f t="shared" si="10"/>
        <v>6.2706816298168455E-3</v>
      </c>
      <c r="G76" s="36">
        <f t="shared" si="10"/>
        <v>7.7257317865974872E-3</v>
      </c>
      <c r="H76" s="21"/>
    </row>
    <row r="77" spans="1:8" ht="18.75" x14ac:dyDescent="0.3">
      <c r="A77" s="23"/>
      <c r="B77" s="35" t="s">
        <v>115</v>
      </c>
      <c r="C77" s="43">
        <v>2.7200526979999998E-10</v>
      </c>
      <c r="D77" s="43">
        <v>3.315547919E-10</v>
      </c>
      <c r="E77" s="43">
        <v>2.037665469E-10</v>
      </c>
      <c r="F77" s="43">
        <v>2.067091183E-10</v>
      </c>
      <c r="G77" s="43">
        <v>0</v>
      </c>
      <c r="H77" s="21"/>
    </row>
    <row r="78" spans="1:8" ht="18.75" x14ac:dyDescent="0.3">
      <c r="A78" s="23"/>
      <c r="B78" s="35" t="s">
        <v>107</v>
      </c>
      <c r="C78" s="37">
        <f t="shared" ref="C78:G78" si="11">C32/C31</f>
        <v>8.8210074096545781E-3</v>
      </c>
      <c r="D78" s="37">
        <f t="shared" si="11"/>
        <v>1.003808026785446E-2</v>
      </c>
      <c r="E78" s="37">
        <f t="shared" si="11"/>
        <v>4.510682648017403E-3</v>
      </c>
      <c r="F78" s="37">
        <f t="shared" si="11"/>
        <v>3.8468480103740765E-3</v>
      </c>
      <c r="G78" s="37">
        <f t="shared" si="11"/>
        <v>1.5884803839699042E-3</v>
      </c>
      <c r="H78" s="21"/>
    </row>
    <row r="79" spans="1:8" ht="18.75" x14ac:dyDescent="0.3">
      <c r="A79" s="23"/>
      <c r="B79" s="35" t="s">
        <v>108</v>
      </c>
      <c r="C79" s="37">
        <f>('Income Statement'!B13-'Income Statement'!B21-'Income Statement'!B18)/'Balance Sheet'!B17</f>
        <v>3.5523015712316738E-3</v>
      </c>
      <c r="D79" s="37">
        <f>('Income Statement'!C13-'Income Statement'!C21-'Income Statement'!C18)/'Balance Sheet'!C17</f>
        <v>7.8762705827105477E-3</v>
      </c>
      <c r="E79" s="37">
        <f>('Income Statement'!D13-'Income Statement'!D21-'Income Statement'!D18)/'Balance Sheet'!D17</f>
        <v>7.8359357369726969E-3</v>
      </c>
      <c r="F79" s="37">
        <f>('Income Statement'!E13-'Income Statement'!E21-'Income Statement'!E18)/'Balance Sheet'!E17</f>
        <v>5.6178598605127047E-3</v>
      </c>
      <c r="G79" s="37">
        <f>('Income Statement'!F13-'Income Statement'!F21-'Income Statement'!F18)/'Balance Sheet'!F17</f>
        <v>1.0964767682626378E-2</v>
      </c>
      <c r="H79" s="21"/>
    </row>
    <row r="80" spans="1:8" ht="18.75" x14ac:dyDescent="0.3">
      <c r="A80" s="23"/>
      <c r="B80" s="35" t="s">
        <v>116</v>
      </c>
      <c r="C80" s="36">
        <f t="shared" ref="C80:G80" si="12">(C41-C42)/C43</f>
        <v>1.6643605039672688E-2</v>
      </c>
      <c r="D80" s="36">
        <f t="shared" si="12"/>
        <v>2.0043523376531695E-2</v>
      </c>
      <c r="E80" s="36">
        <f t="shared" si="12"/>
        <v>1.3564801232658222E-2</v>
      </c>
      <c r="F80" s="36">
        <f t="shared" si="12"/>
        <v>1.1308080630257619E-2</v>
      </c>
      <c r="G80" s="36">
        <f t="shared" si="12"/>
        <v>1.1105960240446029E-2</v>
      </c>
      <c r="H80" s="21"/>
    </row>
    <row r="81" spans="1:8" ht="18.75" x14ac:dyDescent="0.3">
      <c r="A81" s="23"/>
      <c r="B81" s="35" t="s">
        <v>109</v>
      </c>
      <c r="C81" s="44">
        <f>(C82/C83)-(C84/C85)</f>
        <v>1.1139617080179309E-2</v>
      </c>
      <c r="D81" s="44">
        <f t="shared" ref="C81:G81" si="13">(D82/D83)-(D84/D85)</f>
        <v>1.2801607777504293E-2</v>
      </c>
      <c r="E81" s="44">
        <f t="shared" si="13"/>
        <v>6.5391634196390672E-3</v>
      </c>
      <c r="F81" s="44">
        <f t="shared" si="13"/>
        <v>5.6618088379456095E-3</v>
      </c>
      <c r="G81" s="44">
        <f t="shared" si="13"/>
        <v>2.8294988179066068E-3</v>
      </c>
      <c r="H81" s="32"/>
    </row>
    <row r="82" spans="1:8" ht="18.75" hidden="1" x14ac:dyDescent="0.3">
      <c r="A82" s="23"/>
      <c r="B82" s="38" t="s">
        <v>110</v>
      </c>
      <c r="C82" s="39">
        <f>'Income Statement'!B5</f>
        <v>32429546</v>
      </c>
      <c r="D82" s="39">
        <f>'Income Statement'!C5</f>
        <v>30275781</v>
      </c>
      <c r="E82" s="39">
        <f>'Income Statement'!D5</f>
        <v>22136522</v>
      </c>
      <c r="F82" s="39">
        <f>'Income Statement'!E5</f>
        <v>18609958</v>
      </c>
      <c r="G82" s="39">
        <f>'Income Statement'!F5</f>
        <v>16195262</v>
      </c>
      <c r="H82" s="32"/>
    </row>
    <row r="83" spans="1:8" ht="18.75" hidden="1" x14ac:dyDescent="0.3">
      <c r="A83" s="23"/>
      <c r="B83" s="38" t="s">
        <v>111</v>
      </c>
      <c r="C83" s="39">
        <f t="shared" ref="C83:G83" si="14">C18</f>
        <v>1097460409</v>
      </c>
      <c r="D83" s="39">
        <f t="shared" si="14"/>
        <v>853224189</v>
      </c>
      <c r="E83" s="39">
        <f t="shared" si="14"/>
        <v>706642170</v>
      </c>
      <c r="F83" s="39">
        <f t="shared" si="14"/>
        <v>607434536</v>
      </c>
      <c r="G83" s="39">
        <f t="shared" si="14"/>
        <v>579093669</v>
      </c>
      <c r="H83" s="32"/>
    </row>
    <row r="84" spans="1:8" ht="18.75" hidden="1" x14ac:dyDescent="0.3">
      <c r="A84" s="23"/>
      <c r="B84" s="38" t="s">
        <v>112</v>
      </c>
      <c r="C84" s="39">
        <f>'Income Statement'!B19</f>
        <v>21320999</v>
      </c>
      <c r="D84" s="39">
        <f>'Income Statement'!C19</f>
        <v>20309105</v>
      </c>
      <c r="E84" s="39">
        <f>'Income Statement'!D19</f>
        <v>18377125</v>
      </c>
      <c r="F84" s="39">
        <f>'Income Statement'!E19</f>
        <v>15891521</v>
      </c>
      <c r="G84" s="39">
        <f>'Income Statement'!F19</f>
        <v>15142197</v>
      </c>
      <c r="H84" s="32"/>
    </row>
    <row r="85" spans="1:8" ht="18.75" hidden="1" x14ac:dyDescent="0.3">
      <c r="A85" s="23"/>
      <c r="B85" s="38" t="s">
        <v>71</v>
      </c>
      <c r="C85" s="39">
        <f t="shared" ref="C85:G85" si="15">C27</f>
        <v>1158119893</v>
      </c>
      <c r="D85" s="39">
        <f t="shared" si="15"/>
        <v>895369951</v>
      </c>
      <c r="E85" s="39">
        <f t="shared" si="15"/>
        <v>741396075</v>
      </c>
      <c r="F85" s="39">
        <f t="shared" si="15"/>
        <v>636292849</v>
      </c>
      <c r="G85" s="39">
        <f t="shared" si="15"/>
        <v>602385162</v>
      </c>
      <c r="H85" s="32"/>
    </row>
    <row r="86" spans="1:8" ht="18.75" x14ac:dyDescent="0.3">
      <c r="A86" s="23"/>
      <c r="B86" s="35" t="s">
        <v>117</v>
      </c>
      <c r="C86" s="36">
        <f>('Income Statement'!B25/('Income Statement'!B5))</f>
        <v>0.29959509763103065</v>
      </c>
      <c r="D86" s="36">
        <f>('Income Statement'!C25/('Income Statement'!C5))</f>
        <v>0.3586033668297442</v>
      </c>
      <c r="E86" s="36">
        <f>('Income Statement'!D25/('Income Statement'!D5))</f>
        <v>0.31702816729746436</v>
      </c>
      <c r="F86" s="36">
        <f>('Income Statement'!E25/('Income Statement'!E5))</f>
        <v>0.2381132724748761</v>
      </c>
      <c r="G86" s="36">
        <f>('Income Statement'!F25/('Income Statement'!F5))</f>
        <v>0.31624594896951963</v>
      </c>
      <c r="H86" s="21"/>
    </row>
    <row r="87" spans="1:8" ht="18.75" x14ac:dyDescent="0.3">
      <c r="A87" s="23"/>
      <c r="B87" s="35" t="s">
        <v>118</v>
      </c>
      <c r="C87" s="40">
        <f t="shared" ref="C87:G87" si="16">C31/C30</f>
        <v>22.471613436788079</v>
      </c>
      <c r="D87" s="40">
        <f t="shared" si="16"/>
        <v>18.157708667180859</v>
      </c>
      <c r="E87" s="40">
        <f t="shared" si="16"/>
        <v>19.655663176586923</v>
      </c>
      <c r="F87" s="40">
        <f t="shared" si="16"/>
        <v>21.031502578201465</v>
      </c>
      <c r="G87" s="40">
        <f t="shared" si="16"/>
        <v>20.369759309780392</v>
      </c>
      <c r="H87" s="21"/>
    </row>
    <row r="88" spans="1:8" ht="18.75" x14ac:dyDescent="0.3">
      <c r="A88" s="23"/>
      <c r="B88" s="35" t="s">
        <v>119</v>
      </c>
      <c r="C88" s="40">
        <f>'Income Statement'!B5/'Balance Sheet'!B17</f>
        <v>2.5751456563827293E-2</v>
      </c>
      <c r="D88" s="40">
        <f>'Income Statement'!C5/'Balance Sheet'!C17</f>
        <v>3.0492685811195522E-2</v>
      </c>
      <c r="E88" s="40">
        <f>'Income Statement'!D5/'Balance Sheet'!D17</f>
        <v>2.6560330199990982E-2</v>
      </c>
      <c r="F88" s="40">
        <f>'Income Statement'!E5/'Balance Sheet'!E17</f>
        <v>2.6334868126590805E-2</v>
      </c>
      <c r="G88" s="40">
        <f>'Income Statement'!F5/'Balance Sheet'!F17</f>
        <v>2.4429504351823676E-2</v>
      </c>
      <c r="H88" s="21"/>
    </row>
    <row r="89" spans="1:8" ht="18.75" x14ac:dyDescent="0.3">
      <c r="A89" s="23"/>
      <c r="B89" s="35" t="s">
        <v>120</v>
      </c>
      <c r="C89" s="36">
        <f t="shared" ref="C89:G89" si="17">C42/C41</f>
        <v>0.50068618293802936</v>
      </c>
      <c r="D89" s="36">
        <f t="shared" si="17"/>
        <v>0.50395109080824985</v>
      </c>
      <c r="E89" s="36">
        <f t="shared" si="17"/>
        <v>0.61728914999889983</v>
      </c>
      <c r="F89" s="36">
        <f t="shared" si="17"/>
        <v>0.67022181122454771</v>
      </c>
      <c r="G89" s="36">
        <f t="shared" si="17"/>
        <v>0.67000810259667654</v>
      </c>
      <c r="H89" s="21"/>
    </row>
    <row r="90" spans="1:8" ht="18.75" x14ac:dyDescent="0.3">
      <c r="A90" s="23"/>
      <c r="B90" s="35" t="s">
        <v>121</v>
      </c>
      <c r="C90" s="41">
        <f>C29/15672201</f>
        <v>0.61993417516786575</v>
      </c>
      <c r="D90" s="41">
        <f>D29/17835069</f>
        <v>0.60874432277217427</v>
      </c>
      <c r="E90" s="41">
        <f>E29/10400965</f>
        <v>0.67473556540186419</v>
      </c>
      <c r="F90" s="41">
        <f>F29/6879455</f>
        <v>0.64413212965271227</v>
      </c>
      <c r="G90" s="41">
        <f>G29/8345601</f>
        <v>0.61369888160241548</v>
      </c>
      <c r="H90" s="21"/>
    </row>
    <row r="91" spans="1:8" ht="18.75" x14ac:dyDescent="0.3">
      <c r="A91" s="23"/>
      <c r="B91" s="35" t="s">
        <v>122</v>
      </c>
      <c r="C91" s="37">
        <f t="shared" ref="C91:G91" si="18">C32/C43</f>
        <v>8.8210074096545781E-3</v>
      </c>
      <c r="D91" s="37">
        <f t="shared" si="18"/>
        <v>1.003808026785446E-2</v>
      </c>
      <c r="E91" s="37">
        <f t="shared" si="18"/>
        <v>4.510682648017403E-3</v>
      </c>
      <c r="F91" s="37">
        <f t="shared" si="18"/>
        <v>3.8468480103740765E-3</v>
      </c>
      <c r="G91" s="37">
        <f t="shared" si="18"/>
        <v>1.5884803839699042E-3</v>
      </c>
      <c r="H91" s="21"/>
    </row>
    <row r="92" spans="1:8" ht="15" customHeight="1" x14ac:dyDescent="0.25">
      <c r="A92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4604-4AD8-4E4E-804A-39882460246B}">
  <dimension ref="A1:F16"/>
  <sheetViews>
    <sheetView workbookViewId="0">
      <selection activeCell="B3" sqref="B3:F14"/>
    </sheetView>
  </sheetViews>
  <sheetFormatPr defaultRowHeight="15" x14ac:dyDescent="0.25"/>
  <cols>
    <col min="1" max="1" width="47.140625" bestFit="1" customWidth="1"/>
    <col min="2" max="2" width="16.7109375" bestFit="1" customWidth="1"/>
    <col min="3" max="6" width="15.7109375" bestFit="1" customWidth="1"/>
  </cols>
  <sheetData>
    <row r="1" spans="1:6" x14ac:dyDescent="0.25">
      <c r="A1" t="s">
        <v>89</v>
      </c>
      <c r="B1">
        <v>2021</v>
      </c>
      <c r="C1">
        <v>2020</v>
      </c>
      <c r="D1">
        <v>2019</v>
      </c>
      <c r="E1">
        <v>2018</v>
      </c>
      <c r="F1">
        <v>2017</v>
      </c>
    </row>
    <row r="2" spans="1:6" x14ac:dyDescent="0.25">
      <c r="A2" t="s">
        <v>90</v>
      </c>
    </row>
    <row r="3" spans="1:6" x14ac:dyDescent="0.25">
      <c r="A3" t="s">
        <v>91</v>
      </c>
      <c r="B3" s="33">
        <v>2.0145322434150774</v>
      </c>
      <c r="C3" s="33">
        <v>1.8503634031637453</v>
      </c>
      <c r="D3" s="33">
        <v>1.8085221143473571</v>
      </c>
      <c r="E3" s="33">
        <v>1.1116220735785953</v>
      </c>
      <c r="F3" s="33">
        <v>1.332988089073019</v>
      </c>
    </row>
    <row r="4" spans="1:6" hidden="1" x14ac:dyDescent="0.25">
      <c r="A4" t="s">
        <v>92</v>
      </c>
      <c r="B4" s="33">
        <v>22.02</v>
      </c>
      <c r="C4" s="33">
        <v>23.39</v>
      </c>
      <c r="D4" s="33">
        <v>18.54</v>
      </c>
      <c r="E4" s="33">
        <v>23.92</v>
      </c>
      <c r="F4" s="33">
        <v>19.309999999999999</v>
      </c>
    </row>
    <row r="5" spans="1:6" hidden="1" x14ac:dyDescent="0.25">
      <c r="A5" t="s">
        <v>93</v>
      </c>
      <c r="B5" s="33">
        <v>1260260180</v>
      </c>
      <c r="C5" s="33">
        <v>1260260180</v>
      </c>
      <c r="D5" s="33">
        <v>1260260180</v>
      </c>
      <c r="E5" s="33">
        <v>1260260180</v>
      </c>
      <c r="F5" s="33">
        <v>1260260180</v>
      </c>
    </row>
    <row r="6" spans="1:6" hidden="1" x14ac:dyDescent="0.25">
      <c r="A6" t="s">
        <v>94</v>
      </c>
      <c r="B6" s="33">
        <v>44.36</v>
      </c>
      <c r="C6" s="33">
        <v>43.28</v>
      </c>
      <c r="D6" s="33">
        <v>33.53</v>
      </c>
      <c r="E6" s="33">
        <v>26.59</v>
      </c>
      <c r="F6" s="33">
        <v>25.74</v>
      </c>
    </row>
    <row r="7" spans="1:6" x14ac:dyDescent="0.25">
      <c r="A7" t="s">
        <v>95</v>
      </c>
      <c r="B7" s="33"/>
      <c r="C7" s="33"/>
      <c r="D7" s="33"/>
      <c r="E7" s="33"/>
      <c r="F7" s="33"/>
    </row>
    <row r="8" spans="1:6" x14ac:dyDescent="0.25">
      <c r="A8" t="s">
        <v>96</v>
      </c>
      <c r="B8" s="33">
        <v>1.3176955341044831</v>
      </c>
      <c r="C8" s="33">
        <v>1.0580940899831748</v>
      </c>
      <c r="D8" s="33">
        <v>1.0312515352074776</v>
      </c>
      <c r="E8" s="33">
        <v>1.0721448468924104</v>
      </c>
      <c r="F8" s="33">
        <v>1.0173813192532266</v>
      </c>
    </row>
    <row r="9" spans="1:6" hidden="1" x14ac:dyDescent="0.25">
      <c r="A9" t="s">
        <v>97</v>
      </c>
      <c r="B9" s="33">
        <v>1222420697</v>
      </c>
      <c r="C9" s="33">
        <v>956675071</v>
      </c>
      <c r="D9" s="33">
        <v>786642860</v>
      </c>
      <c r="E9" s="33">
        <v>667452221</v>
      </c>
      <c r="F9" s="33">
        <v>633359777</v>
      </c>
    </row>
    <row r="10" spans="1:6" hidden="1" x14ac:dyDescent="0.25">
      <c r="A10" t="s">
        <v>98</v>
      </c>
      <c r="B10" s="33">
        <v>927695864</v>
      </c>
      <c r="C10" s="33">
        <v>904149338</v>
      </c>
      <c r="D10" s="33">
        <v>762804062</v>
      </c>
      <c r="E10" s="33">
        <v>622539224</v>
      </c>
      <c r="F10" s="33">
        <v>622539224</v>
      </c>
    </row>
    <row r="11" spans="1:6" x14ac:dyDescent="0.25">
      <c r="A11" t="s">
        <v>99</v>
      </c>
      <c r="B11" s="33">
        <v>0.60150352363038317</v>
      </c>
      <c r="C11" s="33">
        <v>0.95457933838650033</v>
      </c>
      <c r="D11" s="33">
        <v>0.57388256878498511</v>
      </c>
      <c r="E11" s="33">
        <v>0.54748613552497316</v>
      </c>
      <c r="F11" s="33">
        <v>0.54793223807334746</v>
      </c>
    </row>
    <row r="12" spans="1:6" hidden="1" x14ac:dyDescent="0.25">
      <c r="A12" t="s">
        <v>101</v>
      </c>
      <c r="B12" s="33">
        <v>610784723000</v>
      </c>
      <c r="C12" s="33">
        <v>755250763000</v>
      </c>
      <c r="D12" s="33">
        <v>389838134000</v>
      </c>
      <c r="E12" s="33">
        <v>314057678000</v>
      </c>
      <c r="F12" s="33">
        <v>288107323000</v>
      </c>
    </row>
    <row r="13" spans="1:6" hidden="1" x14ac:dyDescent="0.25">
      <c r="A13" t="s">
        <v>102</v>
      </c>
      <c r="B13" s="33">
        <v>1015430000000</v>
      </c>
      <c r="C13" s="33">
        <v>791187000000</v>
      </c>
      <c r="D13" s="33">
        <v>679299486000</v>
      </c>
      <c r="E13" s="33">
        <v>573635856000</v>
      </c>
      <c r="F13" s="33">
        <v>525808308000</v>
      </c>
    </row>
    <row r="14" spans="1:6" x14ac:dyDescent="0.25">
      <c r="A14" t="s">
        <v>103</v>
      </c>
      <c r="B14" s="33">
        <v>2.8597402597402595</v>
      </c>
      <c r="C14" s="33">
        <v>2.7292882147024504</v>
      </c>
      <c r="D14" s="33">
        <v>3.328545780969479</v>
      </c>
      <c r="E14" s="33">
        <v>6.7954545454545459</v>
      </c>
      <c r="F14" s="33">
        <v>4.6196172248803826</v>
      </c>
    </row>
    <row r="15" spans="1:6" hidden="1" x14ac:dyDescent="0.25">
      <c r="A15" t="s">
        <v>104</v>
      </c>
      <c r="B15">
        <v>22.02</v>
      </c>
      <c r="C15">
        <v>23.39</v>
      </c>
      <c r="D15">
        <v>18.54</v>
      </c>
      <c r="E15">
        <v>23.92</v>
      </c>
      <c r="F15">
        <v>19.309999999999999</v>
      </c>
    </row>
    <row r="16" spans="1:6" hidden="1" x14ac:dyDescent="0.25">
      <c r="A16" t="s">
        <v>105</v>
      </c>
      <c r="B16">
        <v>7.7</v>
      </c>
      <c r="C16">
        <v>8.57</v>
      </c>
      <c r="D16">
        <v>5.57</v>
      </c>
      <c r="E16">
        <v>3.52</v>
      </c>
      <c r="F16">
        <v>4.18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Profitability Ratio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</cp:lastModifiedBy>
  <dcterms:modified xsi:type="dcterms:W3CDTF">2022-04-06T04:15:31Z</dcterms:modified>
</cp:coreProperties>
</file>