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" sheetId="1" r:id="rId4"/>
    <sheet state="visible" name="IS" sheetId="2" r:id="rId5"/>
    <sheet state="visible" name="Working" sheetId="3" r:id="rId6"/>
    <sheet state="visible" name="ROE" sheetId="4" r:id="rId7"/>
    <sheet state="visible" name="Liquidity Risk Measures " sheetId="5" r:id="rId8"/>
    <sheet state="visible" name="CAMELS" sheetId="6" r:id="rId9"/>
    <sheet state="visible" name="Credit Risk Measures" sheetId="7" r:id="rId10"/>
    <sheet state="visible" name="Market Risk" sheetId="8" r:id="rId11"/>
  </sheets>
  <externalReferences>
    <externalReference r:id="rId12"/>
  </externalReferences>
  <definedNames/>
  <calcPr/>
</workbook>
</file>

<file path=xl/sharedStrings.xml><?xml version="1.0" encoding="utf-8"?>
<sst xmlns="http://schemas.openxmlformats.org/spreadsheetml/2006/main" count="172" uniqueCount="133">
  <si>
    <t>Balance sheet</t>
  </si>
  <si>
    <t>Assets</t>
  </si>
  <si>
    <t>Cash and balances with treasury banks 5</t>
  </si>
  <si>
    <t>Balances with other banks 6</t>
  </si>
  <si>
    <t>Lendings to financial institutions 7</t>
  </si>
  <si>
    <t>–</t>
  </si>
  <si>
    <t>Investments 8</t>
  </si>
  <si>
    <t>Advances 9</t>
  </si>
  <si>
    <t>Fixed assets 10</t>
  </si>
  <si>
    <t>Intangible assets 11</t>
  </si>
  <si>
    <t>Deferred tax assets 12</t>
  </si>
  <si>
    <t>Other assets 13</t>
  </si>
  <si>
    <t>Liabilities</t>
  </si>
  <si>
    <t>Bills payable 14</t>
  </si>
  <si>
    <t>Borrowings 15</t>
  </si>
  <si>
    <t>Deposits and other accounts 16</t>
  </si>
  <si>
    <t>Liabilities against assets subject to finance lease</t>
  </si>
  <si>
    <t>Subordinated debts 17</t>
  </si>
  <si>
    <t>Deferred tax liabilities</t>
  </si>
  <si>
    <t>Other liabilities 18</t>
  </si>
  <si>
    <t>Net Assets</t>
  </si>
  <si>
    <t>Share capital 19</t>
  </si>
  <si>
    <t>Reserves</t>
  </si>
  <si>
    <t>Surplus on revaluation of assets - net of tax 20</t>
  </si>
  <si>
    <t>Unappropriated profit</t>
  </si>
  <si>
    <t>Total equity</t>
  </si>
  <si>
    <t xml:space="preserve">Income statement </t>
  </si>
  <si>
    <t>Mark-up / return / interest earned 23</t>
  </si>
  <si>
    <t>Mark-up / return / interest expensed 24</t>
  </si>
  <si>
    <t>Net mark-up / interest income</t>
  </si>
  <si>
    <t>Non mark-up / interest income</t>
  </si>
  <si>
    <t>Fee and commission income 25</t>
  </si>
  <si>
    <t>Dividend income</t>
  </si>
  <si>
    <t>Foreign exchange income</t>
  </si>
  <si>
    <t>Income / (loss) from derivatives</t>
  </si>
  <si>
    <t>-</t>
  </si>
  <si>
    <t>Gain on securities 26</t>
  </si>
  <si>
    <t>Other income 27</t>
  </si>
  <si>
    <t>Total non-markup / interest income</t>
  </si>
  <si>
    <t>Total income</t>
  </si>
  <si>
    <t>Non mark-up / interest expenses</t>
  </si>
  <si>
    <t>Operating expenses 28</t>
  </si>
  <si>
    <t>Workers’ welfare fund 29</t>
  </si>
  <si>
    <t>Other charges 30</t>
  </si>
  <si>
    <t>Total non-markup / interest expenses</t>
  </si>
  <si>
    <t>Profit before provisions</t>
  </si>
  <si>
    <t>Provisions and write offs - net 31</t>
  </si>
  <si>
    <t>Extraordinary / unusual items</t>
  </si>
  <si>
    <t>Profit before taxation</t>
  </si>
  <si>
    <t>Taxation 32</t>
  </si>
  <si>
    <t>Profit after taxation</t>
  </si>
  <si>
    <t>Attributable to:</t>
  </si>
  <si>
    <t>Equity holders of the Bank</t>
  </si>
  <si>
    <t>Non-controlling interest</t>
  </si>
  <si>
    <t>Askari Bank (ratio)</t>
  </si>
  <si>
    <t>1)Return on Equity=Net income/Total equity</t>
  </si>
  <si>
    <t>Net income</t>
  </si>
  <si>
    <t>ROE:</t>
  </si>
  <si>
    <t>2)Return on Asset=Net income/Total Asset</t>
  </si>
  <si>
    <t>Total asset</t>
  </si>
  <si>
    <t>ROA:</t>
  </si>
  <si>
    <t>3)Earnings per share</t>
  </si>
  <si>
    <t>Net income after tax</t>
  </si>
  <si>
    <t>Shares outstanding</t>
  </si>
  <si>
    <t>EPS:</t>
  </si>
  <si>
    <t>4)Net interest margin=(Interest income-Interest expense)/TA</t>
  </si>
  <si>
    <t>Interst income</t>
  </si>
  <si>
    <t>Interest expernse</t>
  </si>
  <si>
    <t>Total Asset</t>
  </si>
  <si>
    <t>Non interest margin</t>
  </si>
  <si>
    <t>4)Net NON interest margin=(Non interest revenue-PLLL-Non interest expense)/TA</t>
  </si>
  <si>
    <t>Non interest revenue</t>
  </si>
  <si>
    <t>Provison for loss/writeoff</t>
  </si>
  <si>
    <t>Non interest expense</t>
  </si>
  <si>
    <t>5)Earning spread</t>
  </si>
  <si>
    <t>Total interest income</t>
  </si>
  <si>
    <t>Total earning asset</t>
  </si>
  <si>
    <t>Total interest expense</t>
  </si>
  <si>
    <t>Total interest bearing liability(Borrowings+Depostits-Current account)</t>
  </si>
  <si>
    <t>Earning spread:</t>
  </si>
  <si>
    <t>ROE</t>
  </si>
  <si>
    <t>Method 1</t>
  </si>
  <si>
    <t>Method 2</t>
  </si>
  <si>
    <t>Method 3</t>
  </si>
  <si>
    <t xml:space="preserve">Average T bills rate </t>
  </si>
  <si>
    <t>Market Risk</t>
  </si>
  <si>
    <t>Liquidity Risk Measures</t>
  </si>
  <si>
    <t xml:space="preserve">Purchased Funds </t>
  </si>
  <si>
    <t xml:space="preserve">Purchased Funds /Total Assets </t>
  </si>
  <si>
    <t xml:space="preserve">Net Loans </t>
  </si>
  <si>
    <t xml:space="preserve">Net Loans / Total Assets </t>
  </si>
  <si>
    <t xml:space="preserve">Cash and Due from Banks </t>
  </si>
  <si>
    <t xml:space="preserve">Cash and due from banks/Total asset </t>
  </si>
  <si>
    <t xml:space="preserve">Federal Government Security </t>
  </si>
  <si>
    <t>Cash and balances with treasury banks</t>
  </si>
  <si>
    <t>Cash and Government Securities</t>
  </si>
  <si>
    <t xml:space="preserve">Cash and Government Securities/TotalAssets </t>
  </si>
  <si>
    <t>Capital Adequacy</t>
  </si>
  <si>
    <t>Asset Quality</t>
  </si>
  <si>
    <t>NPL/TL</t>
  </si>
  <si>
    <t>Management quality</t>
  </si>
  <si>
    <t>TL</t>
  </si>
  <si>
    <t>No. of Employees</t>
  </si>
  <si>
    <t>TL/No. of Employees</t>
  </si>
  <si>
    <t>Earnings</t>
  </si>
  <si>
    <t>ROA</t>
  </si>
  <si>
    <t>NIM</t>
  </si>
  <si>
    <t>Spread</t>
  </si>
  <si>
    <t>EPS</t>
  </si>
  <si>
    <t>Liquidity</t>
  </si>
  <si>
    <t>Cash/Total assets</t>
  </si>
  <si>
    <t>Sensitivity</t>
  </si>
  <si>
    <t>MV of share</t>
  </si>
  <si>
    <t>MV of equity</t>
  </si>
  <si>
    <t>Book value of equity</t>
  </si>
  <si>
    <t>BV/MV</t>
  </si>
  <si>
    <t xml:space="preserve">BV assets </t>
  </si>
  <si>
    <t>market value of freehold / leasehold land and buildings on freehold / leasehold land</t>
  </si>
  <si>
    <t>Rs. In '000</t>
  </si>
  <si>
    <t>MV sec HTM</t>
  </si>
  <si>
    <t>BV HTM</t>
  </si>
  <si>
    <t>CREDIT RISK MEASURES</t>
  </si>
  <si>
    <t xml:space="preserve">Non performing loans </t>
  </si>
  <si>
    <t>Total Loans</t>
  </si>
  <si>
    <t>Net Charge offs</t>
  </si>
  <si>
    <t>Provision of loan losses</t>
  </si>
  <si>
    <t>Equity Capital</t>
  </si>
  <si>
    <t xml:space="preserve">Non-performing loans </t>
  </si>
  <si>
    <t>Allowance of loan losses</t>
  </si>
  <si>
    <t>Years</t>
  </si>
  <si>
    <t>Market Value</t>
  </si>
  <si>
    <t>Book Value</t>
  </si>
  <si>
    <t>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</si>
</sst>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0.000%"/>
    <numFmt numFmtId="166" formatCode="_(* #,##0.00_);_(* \(#,##0.00\);_(* &quot;-&quot;??_);_(@_)"/>
    <numFmt numFmtId="167" formatCode="0.0000%"/>
    <numFmt numFmtId="168" formatCode="_(* #,##0.00000_);_(* \(#,##0.00000\);_(* &quot;-&quot;??_);_(@_)"/>
  </numFmts>
  <fonts count="25">
    <font>
      <sz val="11.0"/>
      <color/>
      <name val="Calibri"/>
    </font>
    <font>
      <b/>
      <sz val="11.0"/>
      <color/>
      <name val="Calibri"/>
    </font>
    <font>
      <sz val="9.0"/>
      <color rgb="FF007AC3"/>
      <name val="Tahoma"/>
    </font>
    <font>
      <sz val="8.0"/>
      <color/>
      <name val="Times New Roman"/>
    </font>
    <font>
      <sz val="9.0"/>
      <color rgb="FF565656"/>
      <name val="Tahoma"/>
    </font>
    <font>
      <sz val="9.0"/>
      <color rgb="FF000000"/>
      <name val="Tahoma"/>
    </font>
    <font>
      <sz val="9.0"/>
      <color/>
      <name val="Tahoma"/>
    </font>
    <font>
      <sz val="9.0"/>
      <color rgb="FF000000"/>
      <name val="Arial"/>
    </font>
    <font>
      <b/>
      <sz val="9.0"/>
      <color rgb="FF565656"/>
      <name val="Tahoma"/>
    </font>
    <font>
      <sz val="9.0"/>
      <color rgb="FFFF0000"/>
      <name val="Tahoma"/>
    </font>
    <font>
      <sz val="11.0"/>
      <color/>
      <name val="Tahoma"/>
    </font>
    <font>
      <sz val="9.0"/>
      <color/>
      <name val="Times New Roman"/>
    </font>
    <font/>
    <font>
      <sz val="11.0"/>
      <color/>
      <name val="Arial"/>
    </font>
    <font>
      <b/>
      <u/>
      <sz val="12.0"/>
      <color/>
      <name val="Arial"/>
    </font>
    <font>
      <b/>
      <sz val="11.0"/>
      <color/>
      <name val="Arial"/>
    </font>
    <font>
      <sz val="9.0"/>
      <color rgb="FF565656"/>
      <name val="Arial"/>
    </font>
    <font>
      <sz val="9.0"/>
      <color/>
      <name val="Arial"/>
    </font>
    <font>
      <b/>
      <sz val="9.0"/>
      <color rgb="FF2E75B5"/>
      <name val="Arial"/>
    </font>
    <font>
      <b/>
      <sz val="11.0"/>
      <color rgb="FF1E4E79"/>
      <name val="Arial"/>
    </font>
    <font>
      <b/>
      <sz val="9.0"/>
      <color rgb="FF565656"/>
      <name val="Arial"/>
    </font>
    <font>
      <sz val="12.0"/>
      <color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0.0"/>
      <color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5F2F9"/>
        <bgColor rgb="FFE5F2F9"/>
      </patternFill>
    </fill>
    <fill>
      <patternFill patternType="solid">
        <fgColor rgb="FFE5F1F5"/>
        <bgColor rgb="FFE5F1F5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</fills>
  <borders count="61">
    <border/>
    <border>
      <top style="medium">
        <color rgb="FF565656"/>
      </top>
    </border>
    <border>
      <left/>
      <right/>
      <top style="medium">
        <color rgb="FF565656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left/>
      <right/>
      <top/>
      <bottom/>
    </border>
    <border>
      <left/>
      <right style="medium">
        <color rgb="FF000000"/>
      </right>
      <top/>
      <bottom/>
    </border>
    <border>
      <bottom style="medium">
        <color rgb="FF565656"/>
      </bottom>
    </border>
    <border>
      <left/>
      <right/>
      <top/>
      <bottom style="medium">
        <color rgb="FF565656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/>
      </right>
      <top/>
      <bottom style="thin">
        <color/>
      </bottom>
    </border>
    <border>
      <left style="thin">
        <color/>
      </left>
      <right style="thin">
        <color/>
      </right>
      <top/>
      <bottom style="thin">
        <color/>
      </bottom>
    </border>
    <border>
      <left style="thin">
        <color/>
      </left>
      <right/>
      <top/>
      <bottom style="thin">
        <color/>
      </bottom>
    </border>
    <border>
      <left/>
      <right style="thin">
        <color/>
      </right>
      <top style="thin">
        <color/>
      </top>
      <bottom style="thin">
        <color/>
      </bottom>
    </border>
    <border>
      <left style="thin">
        <color/>
      </left>
      <right style="thin">
        <color/>
      </right>
      <top style="thin">
        <color/>
      </top>
      <bottom style="thin">
        <color/>
      </bottom>
    </border>
    <border>
      <left style="thin">
        <color/>
      </left>
      <right/>
      <top style="thin">
        <color/>
      </top>
      <bottom style="thin">
        <color/>
      </bottom>
    </border>
    <border>
      <left/>
      <right style="thin">
        <color/>
      </right>
      <top style="thin">
        <color/>
      </top>
      <bottom style="thick">
        <color/>
      </bottom>
    </border>
    <border>
      <left style="thin">
        <color/>
      </left>
      <right style="thin">
        <color/>
      </right>
      <top style="thin">
        <color/>
      </top>
      <bottom style="thick">
        <color/>
      </bottom>
    </border>
    <border>
      <left/>
      <right style="thin">
        <color/>
      </right>
      <top style="thick">
        <color/>
      </top>
      <bottom/>
    </border>
    <border>
      <left style="thin">
        <color/>
      </left>
      <right style="thin">
        <color/>
      </right>
      <top style="thick">
        <color/>
      </top>
      <bottom/>
    </border>
    <border>
      <left style="thin">
        <color/>
      </left>
      <right/>
      <top style="thick">
        <color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1" fillId="0" fontId="2" numFmtId="0" xfId="0" applyAlignment="1" applyBorder="1" applyFont="1">
      <alignment vertical="center"/>
    </xf>
    <xf borderId="2" fillId="2" fontId="3" numFmtId="0" xfId="0" applyAlignment="1" applyBorder="1" applyFill="1" applyFont="1">
      <alignment vertical="center"/>
    </xf>
    <xf borderId="1" fillId="0" fontId="3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5" fillId="2" fontId="4" numFmtId="3" xfId="0" applyAlignment="1" applyBorder="1" applyFont="1" applyNumberFormat="1">
      <alignment horizontal="right" vertical="center"/>
    </xf>
    <xf borderId="0" fillId="0" fontId="4" numFmtId="3" xfId="0" applyAlignment="1" applyFont="1" applyNumberFormat="1">
      <alignment horizontal="right" vertical="center"/>
    </xf>
    <xf borderId="5" fillId="2" fontId="5" numFmtId="3" xfId="0" applyAlignment="1" applyBorder="1" applyFont="1" applyNumberFormat="1">
      <alignment horizontal="right" vertical="center"/>
    </xf>
    <xf borderId="0" fillId="0" fontId="6" numFmtId="3" xfId="0" applyAlignment="1" applyFont="1" applyNumberFormat="1">
      <alignment horizontal="right" vertical="center"/>
    </xf>
    <xf borderId="6" fillId="3" fontId="7" numFmtId="3" xfId="0" applyAlignment="1" applyBorder="1" applyFill="1" applyFont="1" applyNumberFormat="1">
      <alignment horizontal="right" shrinkToFit="0" vertical="center" wrapText="1"/>
    </xf>
    <xf borderId="5" fillId="4" fontId="5" numFmtId="3" xfId="0" applyAlignment="1" applyBorder="1" applyFill="1" applyFont="1" applyNumberFormat="1">
      <alignment horizontal="right" vertical="center"/>
    </xf>
    <xf borderId="5" fillId="4" fontId="6" numFmtId="3" xfId="0" applyAlignment="1" applyBorder="1" applyFont="1" applyNumberFormat="1">
      <alignment horizontal="right" vertical="center"/>
    </xf>
    <xf borderId="5" fillId="2" fontId="8" numFmtId="0" xfId="0" applyAlignment="1" applyBorder="1" applyFont="1">
      <alignment horizontal="right" vertical="center"/>
    </xf>
    <xf borderId="0" fillId="0" fontId="4" numFmtId="0" xfId="0" applyAlignment="1" applyFont="1">
      <alignment horizontal="right" vertical="center"/>
    </xf>
    <xf borderId="0" fillId="0" fontId="6" numFmtId="0" xfId="0" applyAlignment="1" applyFont="1">
      <alignment horizontal="right" vertical="center"/>
    </xf>
    <xf borderId="7" fillId="0" fontId="4" numFmtId="0" xfId="0" applyAlignment="1" applyBorder="1" applyFont="1">
      <alignment vertical="center"/>
    </xf>
    <xf borderId="8" fillId="2" fontId="4" numFmtId="3" xfId="0" applyAlignment="1" applyBorder="1" applyFont="1" applyNumberFormat="1">
      <alignment horizontal="right" vertical="center"/>
    </xf>
    <xf borderId="7" fillId="0" fontId="4" numFmtId="3" xfId="0" applyAlignment="1" applyBorder="1" applyFont="1" applyNumberFormat="1">
      <alignment horizontal="right" vertical="center"/>
    </xf>
    <xf borderId="9" fillId="2" fontId="5" numFmtId="3" xfId="0" applyAlignment="1" applyBorder="1" applyFont="1" applyNumberFormat="1">
      <alignment horizontal="right" vertical="center"/>
    </xf>
    <xf borderId="10" fillId="0" fontId="6" numFmtId="3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5" fillId="2" fontId="3" numFmtId="0" xfId="0" applyAlignment="1" applyBorder="1" applyFont="1">
      <alignment vertical="center"/>
    </xf>
    <xf borderId="5" fillId="2" fontId="4" numFmtId="0" xfId="0" applyAlignment="1" applyBorder="1" applyFont="1">
      <alignment horizontal="right" vertical="center"/>
    </xf>
    <xf borderId="5" fillId="2" fontId="5" numFmtId="0" xfId="0" applyAlignment="1" applyBorder="1" applyFont="1">
      <alignment horizontal="right" vertical="center"/>
    </xf>
    <xf borderId="6" fillId="3" fontId="7" numFmtId="0" xfId="0" applyAlignment="1" applyBorder="1" applyFont="1">
      <alignment horizontal="right" shrinkToFit="0" vertical="center" wrapText="1"/>
    </xf>
    <xf borderId="11" fillId="3" fontId="7" numFmtId="3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vertical="center"/>
    </xf>
    <xf borderId="9" fillId="3" fontId="7" numFmtId="3" xfId="0" applyAlignment="1" applyBorder="1" applyFont="1" applyNumberFormat="1">
      <alignment horizontal="right" shrinkToFit="0" vertical="center" wrapText="1"/>
    </xf>
    <xf borderId="7" fillId="0" fontId="2" numFmtId="0" xfId="0" applyAlignment="1" applyBorder="1" applyFont="1">
      <alignment vertical="center"/>
    </xf>
    <xf borderId="5" fillId="3" fontId="7" numFmtId="3" xfId="0" applyAlignment="1" applyBorder="1" applyFont="1" applyNumberFormat="1">
      <alignment horizontal="right" shrinkToFit="0" vertical="center" wrapText="1"/>
    </xf>
    <xf borderId="0" fillId="0" fontId="9" numFmtId="3" xfId="0" applyAlignment="1" applyFont="1" applyNumberFormat="1">
      <alignment horizontal="right" vertical="center"/>
    </xf>
    <xf borderId="4" fillId="0" fontId="6" numFmtId="0" xfId="0" applyAlignment="1" applyBorder="1" applyFont="1">
      <alignment shrinkToFit="0" vertical="center" wrapText="1"/>
    </xf>
    <xf borderId="0" fillId="0" fontId="10" numFmtId="0" xfId="0" applyFont="1"/>
    <xf borderId="1" fillId="0" fontId="4" numFmtId="0" xfId="0" applyAlignment="1" applyBorder="1" applyFont="1">
      <alignment vertical="center"/>
    </xf>
    <xf borderId="2" fillId="2" fontId="4" numFmtId="3" xfId="0" applyAlignment="1" applyBorder="1" applyFont="1" applyNumberFormat="1">
      <alignment horizontal="left" vertical="center"/>
    </xf>
    <xf borderId="1" fillId="0" fontId="4" numFmtId="3" xfId="0" applyAlignment="1" applyBorder="1" applyFont="1" applyNumberFormat="1">
      <alignment horizontal="left" vertical="center"/>
    </xf>
    <xf borderId="3" fillId="2" fontId="5" numFmtId="3" xfId="0" applyAlignment="1" applyBorder="1" applyFont="1" applyNumberFormat="1">
      <alignment horizontal="left" shrinkToFit="0" vertical="center" wrapText="1"/>
    </xf>
    <xf borderId="4" fillId="0" fontId="6" numFmtId="3" xfId="0" applyAlignment="1" applyBorder="1" applyFont="1" applyNumberFormat="1">
      <alignment horizontal="left" shrinkToFit="0" vertical="center" wrapText="1"/>
    </xf>
    <xf borderId="3" fillId="3" fontId="7" numFmtId="3" xfId="0" applyAlignment="1" applyBorder="1" applyFont="1" applyNumberFormat="1">
      <alignment horizontal="left" shrinkToFit="0" vertical="center" wrapText="1"/>
    </xf>
    <xf borderId="8" fillId="2" fontId="4" numFmtId="3" xfId="0" applyAlignment="1" applyBorder="1" applyFont="1" applyNumberFormat="1">
      <alignment horizontal="left" vertical="center"/>
    </xf>
    <xf borderId="7" fillId="0" fontId="4" numFmtId="3" xfId="0" applyAlignment="1" applyBorder="1" applyFont="1" applyNumberFormat="1">
      <alignment horizontal="left" vertical="center"/>
    </xf>
    <xf borderId="9" fillId="4" fontId="5" numFmtId="3" xfId="0" applyAlignment="1" applyBorder="1" applyFont="1" applyNumberFormat="1">
      <alignment horizontal="left" shrinkToFit="0" vertical="center" wrapText="1"/>
    </xf>
    <xf borderId="9" fillId="4" fontId="6" numFmtId="3" xfId="0" applyAlignment="1" applyBorder="1" applyFont="1" applyNumberFormat="1">
      <alignment horizontal="left" shrinkToFit="0" vertical="center" wrapText="1"/>
    </xf>
    <xf borderId="9" fillId="3" fontId="7" numFmtId="3" xfId="0" applyAlignment="1" applyBorder="1" applyFont="1" applyNumberFormat="1">
      <alignment horizontal="left" shrinkToFit="0" vertical="center" wrapText="1"/>
    </xf>
    <xf borderId="5" fillId="2" fontId="5" numFmtId="3" xfId="0" applyAlignment="1" applyBorder="1" applyFont="1" applyNumberFormat="1">
      <alignment horizontal="left" shrinkToFit="0" vertical="center" wrapText="1"/>
    </xf>
    <xf borderId="0" fillId="0" fontId="6" numFmtId="3" xfId="0" applyAlignment="1" applyFont="1" applyNumberFormat="1">
      <alignment horizontal="right" shrinkToFit="0" vertical="center" wrapText="1"/>
    </xf>
    <xf borderId="5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9" fillId="3" fontId="11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vertical="center"/>
    </xf>
    <xf borderId="5" fillId="4" fontId="5" numFmtId="3" xfId="0" applyAlignment="1" applyBorder="1" applyFont="1" applyNumberFormat="1">
      <alignment horizontal="right" shrinkToFit="0" vertical="center" wrapText="1"/>
    </xf>
    <xf borderId="5" fillId="4" fontId="6" numFmtId="3" xfId="0" applyAlignment="1" applyBorder="1" applyFont="1" applyNumberFormat="1">
      <alignment horizontal="right" shrinkToFit="0" vertical="center" wrapText="1"/>
    </xf>
    <xf borderId="5" fillId="2" fontId="5" numFmtId="0" xfId="0" applyAlignment="1" applyBorder="1" applyFont="1">
      <alignment horizontal="right" shrinkToFit="0" vertical="center" wrapText="1"/>
    </xf>
    <xf borderId="0" fillId="0" fontId="6" numFmtId="0" xfId="0" applyAlignment="1" applyFont="1">
      <alignment horizontal="right" shrinkToFit="0" vertical="center" wrapText="1"/>
    </xf>
    <xf borderId="5" fillId="2" fontId="5" numFmtId="3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left" vertical="center"/>
    </xf>
    <xf borderId="9" fillId="2" fontId="5" numFmtId="3" xfId="0" applyAlignment="1" applyBorder="1" applyFont="1" applyNumberFormat="1">
      <alignment horizontal="left" shrinkToFit="0" vertical="center" wrapText="1"/>
    </xf>
    <xf borderId="10" fillId="0" fontId="6" numFmtId="3" xfId="0" applyAlignment="1" applyBorder="1" applyFont="1" applyNumberFormat="1">
      <alignment horizontal="right" shrinkToFit="0" vertical="center" wrapText="1"/>
    </xf>
    <xf borderId="5" fillId="4" fontId="5" numFmtId="3" xfId="0" applyAlignment="1" applyBorder="1" applyFont="1" applyNumberFormat="1">
      <alignment horizontal="left" shrinkToFit="0" vertical="center" wrapText="1"/>
    </xf>
    <xf borderId="8" fillId="2" fontId="4" numFmtId="0" xfId="0" applyAlignment="1" applyBorder="1" applyFont="1">
      <alignment horizontal="right" vertical="center"/>
    </xf>
    <xf borderId="7" fillId="0" fontId="4" numFmtId="0" xfId="0" applyAlignment="1" applyBorder="1" applyFont="1">
      <alignment horizontal="right" vertical="center"/>
    </xf>
    <xf borderId="9" fillId="2" fontId="5" numFmtId="0" xfId="0" applyAlignment="1" applyBorder="1" applyFont="1">
      <alignment horizontal="right" shrinkToFit="0" vertical="center" wrapText="1"/>
    </xf>
    <xf borderId="10" fillId="0" fontId="6" numFmtId="0" xfId="0" applyAlignment="1" applyBorder="1" applyFont="1">
      <alignment horizontal="right" shrinkToFit="0" vertical="center" wrapText="1"/>
    </xf>
    <xf borderId="9" fillId="2" fontId="5" numFmtId="3" xfId="0" applyAlignment="1" applyBorder="1" applyFont="1" applyNumberFormat="1">
      <alignment horizontal="right" shrinkToFit="0" vertical="center" wrapText="1"/>
    </xf>
    <xf borderId="9" fillId="2" fontId="9" numFmtId="3" xfId="0" applyAlignment="1" applyBorder="1" applyFont="1" applyNumberFormat="1">
      <alignment horizontal="left" shrinkToFit="0" vertical="center" wrapText="1"/>
    </xf>
    <xf borderId="10" fillId="0" fontId="9" numFmtId="3" xfId="0" applyAlignment="1" applyBorder="1" applyFont="1" applyNumberFormat="1">
      <alignment horizontal="right" shrinkToFit="0" vertical="center" wrapText="1"/>
    </xf>
    <xf borderId="5" fillId="2" fontId="9" numFmtId="3" xfId="0" applyAlignment="1" applyBorder="1" applyFont="1" applyNumberFormat="1">
      <alignment horizontal="left" shrinkToFit="0" vertical="center" wrapText="1"/>
    </xf>
    <xf borderId="0" fillId="0" fontId="9" numFmtId="3" xfId="0" applyAlignment="1" applyFont="1" applyNumberFormat="1">
      <alignment horizontal="right" shrinkToFit="0" vertical="center" wrapText="1"/>
    </xf>
    <xf borderId="0" fillId="0" fontId="6" numFmtId="0" xfId="0" applyAlignment="1" applyFont="1">
      <alignment vertical="center"/>
    </xf>
    <xf borderId="12" fillId="0" fontId="0" numFmtId="0" xfId="0" applyAlignment="1" applyBorder="1" applyFont="1">
      <alignment horizontal="center"/>
    </xf>
    <xf borderId="13" fillId="0" fontId="12" numFmtId="0" xfId="0" applyBorder="1" applyFont="1"/>
    <xf borderId="14" fillId="0" fontId="12" numFmtId="0" xfId="0" applyBorder="1" applyFont="1"/>
    <xf borderId="15" fillId="0" fontId="0" numFmtId="0" xfId="0" applyBorder="1" applyFont="1"/>
    <xf borderId="15" fillId="0" fontId="0" numFmtId="0" xfId="0" applyAlignment="1" applyBorder="1" applyFont="1">
      <alignment horizontal="center"/>
    </xf>
    <xf borderId="16" fillId="5" fontId="0" numFmtId="0" xfId="0" applyBorder="1" applyFill="1" applyFont="1"/>
    <xf borderId="17" fillId="5" fontId="0" numFmtId="0" xfId="0" applyBorder="1" applyFont="1"/>
    <xf borderId="18" fillId="5" fontId="0" numFmtId="0" xfId="0" applyBorder="1" applyFont="1"/>
    <xf borderId="19" fillId="5" fontId="0" numFmtId="0" xfId="0" applyBorder="1" applyFont="1"/>
    <xf borderId="20" fillId="5" fontId="0" numFmtId="0" xfId="0" applyBorder="1" applyFont="1"/>
    <xf borderId="20" fillId="5" fontId="0" numFmtId="3" xfId="0" applyAlignment="1" applyBorder="1" applyFont="1" applyNumberFormat="1">
      <alignment vertical="center"/>
    </xf>
    <xf borderId="20" fillId="5" fontId="0" numFmtId="3" xfId="0" applyAlignment="1" applyBorder="1" applyFont="1" applyNumberFormat="1">
      <alignment shrinkToFit="0" vertical="center" wrapText="1"/>
    </xf>
    <xf borderId="21" fillId="5" fontId="0" numFmtId="3" xfId="0" applyAlignment="1" applyBorder="1" applyFont="1" applyNumberFormat="1">
      <alignment shrinkToFit="0" vertical="center" wrapText="1"/>
    </xf>
    <xf borderId="21" fillId="5" fontId="0" numFmtId="0" xfId="0" applyBorder="1" applyFont="1"/>
    <xf borderId="20" fillId="5" fontId="0" numFmtId="4" xfId="0" applyBorder="1" applyFont="1" applyNumberFormat="1"/>
    <xf borderId="21" fillId="5" fontId="0" numFmtId="4" xfId="0" applyBorder="1" applyFont="1" applyNumberFormat="1"/>
    <xf borderId="20" fillId="5" fontId="0" numFmtId="2" xfId="0" applyBorder="1" applyFont="1" applyNumberFormat="1"/>
    <xf borderId="21" fillId="5" fontId="0" numFmtId="2" xfId="0" applyBorder="1" applyFont="1" applyNumberFormat="1"/>
    <xf borderId="20" fillId="5" fontId="0" numFmtId="3" xfId="0" applyBorder="1" applyFont="1" applyNumberFormat="1"/>
    <xf borderId="15" fillId="5" fontId="0" numFmtId="0" xfId="0" applyBorder="1" applyFont="1"/>
    <xf borderId="22" fillId="5" fontId="0" numFmtId="0" xfId="0" applyBorder="1" applyFont="1"/>
    <xf borderId="23" fillId="5" fontId="0" numFmtId="0" xfId="0" applyBorder="1" applyFont="1"/>
    <xf borderId="23" fillId="5" fontId="0" numFmtId="3" xfId="0" applyBorder="1" applyFont="1" applyNumberFormat="1"/>
    <xf borderId="24" fillId="0" fontId="1" numFmtId="0" xfId="0" applyBorder="1" applyFont="1"/>
    <xf borderId="25" fillId="0" fontId="1" numFmtId="0" xfId="0" applyBorder="1" applyFont="1"/>
    <xf borderId="26" fillId="0" fontId="1" numFmtId="9" xfId="0" applyBorder="1" applyFont="1" applyNumberFormat="1"/>
    <xf borderId="15" fillId="0" fontId="1" numFmtId="0" xfId="0" applyAlignment="1" applyBorder="1" applyFont="1">
      <alignment horizontal="center"/>
    </xf>
    <xf borderId="15" fillId="0" fontId="0" numFmtId="10" xfId="0" applyBorder="1" applyFont="1" applyNumberFormat="1"/>
    <xf borderId="15" fillId="0" fontId="0" numFmtId="2" xfId="0" applyBorder="1" applyFont="1" applyNumberFormat="1"/>
    <xf borderId="0" fillId="0" fontId="0" numFmtId="10" xfId="0" applyFont="1" applyNumberFormat="1"/>
    <xf borderId="0" fillId="0" fontId="0" numFmtId="9" xfId="0" applyFont="1" applyNumberFormat="1"/>
    <xf borderId="0" fillId="0" fontId="13" numFmtId="0" xfId="0" applyFont="1"/>
    <xf borderId="27" fillId="6" fontId="14" numFmtId="0" xfId="0" applyAlignment="1" applyBorder="1" applyFill="1" applyFont="1">
      <alignment horizontal="center"/>
    </xf>
    <xf borderId="28" fillId="0" fontId="12" numFmtId="0" xfId="0" applyBorder="1" applyFont="1"/>
    <xf borderId="29" fillId="0" fontId="12" numFmtId="0" xfId="0" applyBorder="1" applyFont="1"/>
    <xf borderId="30" fillId="7" fontId="15" numFmtId="0" xfId="0" applyAlignment="1" applyBorder="1" applyFill="1" applyFont="1">
      <alignment horizontal="center" vertical="center"/>
    </xf>
    <xf borderId="31" fillId="7" fontId="15" numFmtId="0" xfId="0" applyAlignment="1" applyBorder="1" applyFont="1">
      <alignment horizontal="center" vertical="center"/>
    </xf>
    <xf borderId="32" fillId="7" fontId="15" numFmtId="0" xfId="0" applyAlignment="1" applyBorder="1" applyFont="1">
      <alignment horizontal="center" vertical="center"/>
    </xf>
    <xf borderId="33" fillId="0" fontId="12" numFmtId="0" xfId="0" applyBorder="1" applyFont="1"/>
    <xf borderId="34" fillId="0" fontId="12" numFmtId="0" xfId="0" applyBorder="1" applyFont="1"/>
    <xf borderId="35" fillId="0" fontId="12" numFmtId="0" xfId="0" applyBorder="1" applyFont="1"/>
    <xf borderId="36" fillId="8" fontId="15" numFmtId="0" xfId="0" applyAlignment="1" applyBorder="1" applyFill="1" applyFont="1">
      <alignment shrinkToFit="0" vertical="center" wrapText="1"/>
    </xf>
    <xf borderId="37" fillId="9" fontId="16" numFmtId="164" xfId="0" applyAlignment="1" applyBorder="1" applyFill="1" applyFont="1" applyNumberFormat="1">
      <alignment horizontal="center" vertical="center"/>
    </xf>
    <xf borderId="15" fillId="9" fontId="16" numFmtId="164" xfId="0" applyAlignment="1" applyBorder="1" applyFont="1" applyNumberFormat="1">
      <alignment horizontal="center" vertical="center"/>
    </xf>
    <xf borderId="38" fillId="9" fontId="16" numFmtId="164" xfId="0" applyAlignment="1" applyBorder="1" applyFont="1" applyNumberFormat="1">
      <alignment horizontal="center" vertical="center"/>
    </xf>
    <xf borderId="0" fillId="0" fontId="15" numFmtId="0" xfId="0" applyFont="1"/>
    <xf borderId="37" fillId="0" fontId="17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38" fillId="0" fontId="17" numFmtId="0" xfId="0" applyAlignment="1" applyBorder="1" applyFont="1">
      <alignment horizontal="center" vertical="center"/>
    </xf>
    <xf borderId="39" fillId="8" fontId="15" numFmtId="0" xfId="0" applyAlignment="1" applyBorder="1" applyFont="1">
      <alignment shrinkToFit="0" vertical="center" wrapText="1"/>
    </xf>
    <xf borderId="40" fillId="9" fontId="16" numFmtId="164" xfId="0" applyAlignment="1" applyBorder="1" applyFont="1" applyNumberFormat="1">
      <alignment horizontal="center" vertical="center"/>
    </xf>
    <xf borderId="41" fillId="9" fontId="16" numFmtId="164" xfId="0" applyAlignment="1" applyBorder="1" applyFont="1" applyNumberFormat="1">
      <alignment horizontal="center" vertical="center"/>
    </xf>
    <xf borderId="42" fillId="9" fontId="16" numFmtId="164" xfId="0" applyAlignment="1" applyBorder="1" applyFont="1" applyNumberFormat="1">
      <alignment horizontal="center" vertical="center"/>
    </xf>
    <xf borderId="43" fillId="8" fontId="15" numFmtId="0" xfId="0" applyAlignment="1" applyBorder="1" applyFont="1">
      <alignment shrinkToFit="0" vertical="center" wrapText="1"/>
    </xf>
    <xf borderId="44" fillId="0" fontId="18" numFmtId="10" xfId="0" applyAlignment="1" applyBorder="1" applyFont="1" applyNumberFormat="1">
      <alignment horizontal="center" vertical="center"/>
    </xf>
    <xf borderId="45" fillId="0" fontId="18" numFmtId="10" xfId="0" applyAlignment="1" applyBorder="1" applyFont="1" applyNumberFormat="1">
      <alignment horizontal="center" vertical="center"/>
    </xf>
    <xf borderId="46" fillId="0" fontId="18" numFmtId="10" xfId="0" applyAlignment="1" applyBorder="1" applyFont="1" applyNumberFormat="1">
      <alignment horizontal="center" vertical="center"/>
    </xf>
    <xf borderId="33" fillId="0" fontId="17" numFmtId="0" xfId="0" applyAlignment="1" applyBorder="1" applyFont="1">
      <alignment horizontal="center" vertical="center"/>
    </xf>
    <xf borderId="34" fillId="0" fontId="17" numFmtId="0" xfId="0" applyAlignment="1" applyBorder="1" applyFont="1">
      <alignment horizontal="center" vertical="center"/>
    </xf>
    <xf borderId="35" fillId="0" fontId="17" numFmtId="0" xfId="0" applyAlignment="1" applyBorder="1" applyFont="1">
      <alignment horizontal="center" vertical="center"/>
    </xf>
    <xf borderId="47" fillId="8" fontId="19" numFmtId="0" xfId="0" applyAlignment="1" applyBorder="1" applyFont="1">
      <alignment shrinkToFit="0" vertical="center" wrapText="1"/>
    </xf>
    <xf borderId="47" fillId="8" fontId="15" numFmtId="0" xfId="0" applyAlignment="1" applyBorder="1" applyFont="1">
      <alignment shrinkToFit="0" vertical="center" wrapText="1"/>
    </xf>
    <xf borderId="40" fillId="10" fontId="20" numFmtId="164" xfId="0" applyAlignment="1" applyBorder="1" applyFill="1" applyFont="1" applyNumberFormat="1">
      <alignment horizontal="center" vertical="center"/>
    </xf>
    <xf borderId="41" fillId="10" fontId="20" numFmtId="164" xfId="0" applyAlignment="1" applyBorder="1" applyFont="1" applyNumberFormat="1">
      <alignment horizontal="center" vertical="center"/>
    </xf>
    <xf borderId="42" fillId="10" fontId="20" numFmtId="164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5" fillId="4" fontId="0" numFmtId="0" xfId="0" applyAlignment="1" applyBorder="1" applyFont="1">
      <alignment horizontal="center"/>
    </xf>
    <xf borderId="0" fillId="0" fontId="21" numFmtId="165" xfId="0" applyAlignment="1" applyFont="1" applyNumberFormat="1">
      <alignment horizontal="center"/>
    </xf>
    <xf borderId="0" fillId="0" fontId="0" numFmtId="165" xfId="0" applyAlignment="1" applyFont="1" applyNumberFormat="1">
      <alignment horizontal="center"/>
    </xf>
    <xf borderId="0" fillId="0" fontId="21" numFmtId="0" xfId="0" applyAlignment="1" applyFont="1">
      <alignment horizontal="center"/>
    </xf>
    <xf borderId="0" fillId="0" fontId="21" numFmtId="166" xfId="0" applyAlignment="1" applyFont="1" applyNumberFormat="1">
      <alignment horizontal="center"/>
    </xf>
    <xf borderId="0" fillId="0" fontId="0" numFmtId="166" xfId="0" applyAlignment="1" applyFont="1" applyNumberFormat="1">
      <alignment horizontal="center"/>
    </xf>
    <xf borderId="0" fillId="0" fontId="0" numFmtId="4" xfId="0" applyAlignment="1" applyFont="1" applyNumberFormat="1">
      <alignment horizontal="center"/>
    </xf>
    <xf borderId="0" fillId="0" fontId="0" numFmtId="2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2" numFmtId="3" xfId="0" applyAlignment="1" applyFont="1" applyNumberFormat="1">
      <alignment horizontal="center"/>
    </xf>
    <xf borderId="0" fillId="0" fontId="23" numFmtId="3" xfId="0" applyAlignment="1" applyFont="1" applyNumberFormat="1">
      <alignment horizontal="center"/>
    </xf>
    <xf borderId="0" fillId="0" fontId="22" numFmtId="9" xfId="0" applyAlignment="1" applyFont="1" applyNumberFormat="1">
      <alignment horizontal="center"/>
    </xf>
    <xf borderId="0" fillId="0" fontId="22" numFmtId="4" xfId="0" applyAlignment="1" applyFont="1" applyNumberFormat="1">
      <alignment horizontal="center"/>
    </xf>
    <xf borderId="5" fillId="11" fontId="22" numFmtId="3" xfId="0" applyAlignment="1" applyBorder="1" applyFill="1" applyFont="1" applyNumberFormat="1">
      <alignment horizontal="center"/>
    </xf>
    <xf borderId="5" fillId="11" fontId="22" numFmtId="0" xfId="0" applyAlignment="1" applyBorder="1" applyFont="1">
      <alignment horizontal="center"/>
    </xf>
    <xf borderId="0" fillId="0" fontId="22" numFmtId="164" xfId="0" applyAlignment="1" applyFont="1" applyNumberFormat="1">
      <alignment horizontal="center"/>
    </xf>
    <xf borderId="5" fillId="11" fontId="22" numFmtId="9" xfId="0" applyAlignment="1" applyBorder="1" applyFont="1" applyNumberFormat="1">
      <alignment horizontal="center"/>
    </xf>
    <xf borderId="48" fillId="10" fontId="1" numFmtId="0" xfId="0" applyAlignment="1" applyBorder="1" applyFont="1">
      <alignment horizontal="center"/>
    </xf>
    <xf borderId="49" fillId="0" fontId="12" numFmtId="0" xfId="0" applyBorder="1" applyFont="1"/>
    <xf borderId="50" fillId="0" fontId="12" numFmtId="0" xfId="0" applyBorder="1" applyFont="1"/>
    <xf borderId="51" fillId="10" fontId="1" numFmtId="0" xfId="0" applyAlignment="1" applyBorder="1" applyFont="1">
      <alignment horizontal="center"/>
    </xf>
    <xf borderId="52" fillId="10" fontId="1" numFmtId="0" xfId="0" applyAlignment="1" applyBorder="1" applyFont="1">
      <alignment horizontal="center"/>
    </xf>
    <xf borderId="53" fillId="1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0" fillId="0" fontId="0" numFmtId="3" xfId="0" applyFont="1" applyNumberFormat="1"/>
    <xf borderId="43" fillId="0" fontId="1" numFmtId="0" xfId="0" applyAlignment="1" applyBorder="1" applyFont="1">
      <alignment horizontal="center"/>
    </xf>
    <xf borderId="54" fillId="12" fontId="24" numFmtId="166" xfId="0" applyAlignment="1" applyBorder="1" applyFill="1" applyFont="1" applyNumberFormat="1">
      <alignment horizontal="center"/>
    </xf>
    <xf borderId="55" fillId="12" fontId="24" numFmtId="166" xfId="0" applyBorder="1" applyFont="1" applyNumberFormat="1"/>
    <xf borderId="56" fillId="12" fontId="24" numFmtId="166" xfId="0" applyBorder="1" applyFont="1" applyNumberFormat="1"/>
    <xf borderId="0" fillId="0" fontId="1" numFmtId="0" xfId="0" applyAlignment="1" applyFont="1">
      <alignment horizontal="center"/>
    </xf>
    <xf borderId="5" fillId="13" fontId="24" numFmtId="10" xfId="0" applyAlignment="1" applyBorder="1" applyFill="1" applyFont="1" applyNumberFormat="1">
      <alignment horizontal="center"/>
    </xf>
    <xf borderId="57" fillId="0" fontId="0" numFmtId="3" xfId="0" applyBorder="1" applyFont="1" applyNumberFormat="1"/>
    <xf borderId="58" fillId="0" fontId="0" numFmtId="0" xfId="0" applyAlignment="1" applyBorder="1" applyFont="1">
      <alignment horizontal="center"/>
    </xf>
    <xf borderId="55" fillId="12" fontId="24" numFmtId="166" xfId="0" applyAlignment="1" applyBorder="1" applyFont="1" applyNumberFormat="1">
      <alignment horizontal="center"/>
    </xf>
    <xf borderId="56" fillId="12" fontId="24" numFmtId="166" xfId="0" applyAlignment="1" applyBorder="1" applyFont="1" applyNumberFormat="1">
      <alignment horizontal="center"/>
    </xf>
    <xf borderId="5" fillId="13" fontId="24" numFmtId="167" xfId="0" applyAlignment="1" applyBorder="1" applyFont="1" applyNumberFormat="1">
      <alignment horizontal="center"/>
    </xf>
    <xf borderId="54" fillId="12" fontId="0" numFmtId="166" xfId="0" applyBorder="1" applyFont="1" applyNumberFormat="1"/>
    <xf borderId="55" fillId="12" fontId="0" numFmtId="166" xfId="0" applyBorder="1" applyFont="1" applyNumberFormat="1"/>
    <xf borderId="56" fillId="12" fontId="0" numFmtId="166" xfId="0" applyBorder="1" applyFont="1" applyNumberFormat="1"/>
    <xf borderId="5" fillId="13" fontId="0" numFmtId="10" xfId="0" applyBorder="1" applyFont="1" applyNumberFormat="1"/>
    <xf borderId="59" fillId="0" fontId="0" numFmtId="0" xfId="0" applyBorder="1" applyFont="1"/>
    <xf borderId="57" fillId="0" fontId="0" numFmtId="0" xfId="0" applyBorder="1" applyFont="1"/>
    <xf borderId="58" fillId="0" fontId="0" numFmtId="0" xfId="0" applyBorder="1" applyFont="1"/>
    <xf borderId="5" fillId="13" fontId="0" numFmtId="166" xfId="0" applyBorder="1" applyFont="1" applyNumberFormat="1"/>
    <xf borderId="59" fillId="0" fontId="0" numFmtId="0" xfId="0" applyAlignment="1" applyBorder="1" applyFont="1">
      <alignment horizontal="center"/>
    </xf>
    <xf borderId="0" fillId="0" fontId="0" numFmtId="164" xfId="0" applyFont="1" applyNumberFormat="1"/>
    <xf borderId="60" fillId="0" fontId="1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uneeb%20Ahmad/Desktop/Askari%20Bank%20(2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S"/>
      <sheetName val="IS"/>
      <sheetName val="Working"/>
      <sheetName val="ROE"/>
      <sheetName val="RATIOS"/>
      <sheetName val="Risk"/>
      <sheetName val="CAMEL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2.71"/>
    <col customWidth="1" min="3" max="5" width="11.14"/>
    <col customWidth="1" min="6" max="6" width="10.86"/>
  </cols>
  <sheetData>
    <row r="1">
      <c r="A1" s="1" t="s">
        <v>0</v>
      </c>
    </row>
    <row r="2">
      <c r="B2" s="2">
        <v>2021.0</v>
      </c>
      <c r="C2" s="2">
        <v>2020.0</v>
      </c>
      <c r="D2" s="2">
        <v>2019.0</v>
      </c>
      <c r="E2" s="2">
        <v>2018.0</v>
      </c>
      <c r="F2" s="2">
        <v>2017.0</v>
      </c>
    </row>
    <row r="3">
      <c r="A3" s="3" t="s">
        <v>1</v>
      </c>
      <c r="B3" s="4"/>
      <c r="C3" s="5"/>
      <c r="D3" s="6"/>
      <c r="E3" s="7"/>
    </row>
    <row r="4">
      <c r="A4" s="8" t="s">
        <v>2</v>
      </c>
      <c r="B4" s="9">
        <v>8.9432245E7</v>
      </c>
      <c r="C4" s="10">
        <v>7.3651718E7</v>
      </c>
      <c r="D4" s="11">
        <v>6.303929E7</v>
      </c>
      <c r="E4" s="12">
        <v>4.9187645E7</v>
      </c>
      <c r="F4" s="13">
        <v>4.4239325E7</v>
      </c>
    </row>
    <row r="5">
      <c r="A5" s="8" t="s">
        <v>3</v>
      </c>
      <c r="B5" s="9">
        <v>3556215.0</v>
      </c>
      <c r="C5" s="10">
        <v>8196147.0</v>
      </c>
      <c r="D5" s="14">
        <v>7886702.0</v>
      </c>
      <c r="E5" s="15">
        <v>4093402.0</v>
      </c>
      <c r="F5" s="13">
        <v>3193835.0</v>
      </c>
    </row>
    <row r="6">
      <c r="A6" s="8" t="s">
        <v>4</v>
      </c>
      <c r="B6" s="16" t="s">
        <v>5</v>
      </c>
      <c r="C6" s="17" t="s">
        <v>5</v>
      </c>
      <c r="D6" s="11">
        <v>2.0405972E7</v>
      </c>
      <c r="E6" s="18" t="s">
        <v>5</v>
      </c>
      <c r="F6" s="13">
        <v>2250000.0</v>
      </c>
    </row>
    <row r="7">
      <c r="A7" s="8" t="s">
        <v>6</v>
      </c>
      <c r="B7" s="9">
        <v>6.16231172E8</v>
      </c>
      <c r="C7" s="10">
        <v>4.49611987E8</v>
      </c>
      <c r="D7" s="11">
        <v>3.05435633E8</v>
      </c>
      <c r="E7" s="12">
        <v>2.60233987E8</v>
      </c>
      <c r="F7" s="13">
        <v>3.14956748E8</v>
      </c>
    </row>
    <row r="8">
      <c r="A8" s="8" t="s">
        <v>7</v>
      </c>
      <c r="B8" s="9">
        <v>4.77673022E8</v>
      </c>
      <c r="C8" s="10">
        <v>3.95416055E8</v>
      </c>
      <c r="D8" s="11">
        <v>3.72913863E8</v>
      </c>
      <c r="E8" s="12">
        <v>3.43107147E8</v>
      </c>
      <c r="F8" s="13">
        <v>2.58693086E8</v>
      </c>
    </row>
    <row r="9">
      <c r="A9" s="8" t="s">
        <v>8</v>
      </c>
      <c r="B9" s="9">
        <v>2.0179222E7</v>
      </c>
      <c r="C9" s="10">
        <v>2.123275E7</v>
      </c>
      <c r="D9" s="14">
        <v>1.9696568E7</v>
      </c>
      <c r="E9" s="15">
        <v>1.2791827E7</v>
      </c>
      <c r="F9" s="13">
        <v>9885958.0</v>
      </c>
    </row>
    <row r="10">
      <c r="A10" s="8" t="s">
        <v>9</v>
      </c>
      <c r="B10" s="9">
        <v>1188985.0</v>
      </c>
      <c r="C10" s="10">
        <v>1158857.0</v>
      </c>
      <c r="D10" s="11">
        <v>808994.0</v>
      </c>
      <c r="E10" s="12">
        <v>741361.0</v>
      </c>
      <c r="F10" s="13">
        <v>842869.0</v>
      </c>
    </row>
    <row r="11">
      <c r="A11" s="8" t="s">
        <v>10</v>
      </c>
      <c r="B11" s="9">
        <v>5161697.0</v>
      </c>
      <c r="C11" s="10">
        <v>1597334.0</v>
      </c>
      <c r="D11" s="11">
        <v>2489752.0</v>
      </c>
      <c r="E11" s="12">
        <v>3773779.0</v>
      </c>
      <c r="F11" s="13">
        <v>100755.0</v>
      </c>
    </row>
    <row r="12">
      <c r="A12" s="19" t="s">
        <v>11</v>
      </c>
      <c r="B12" s="20">
        <v>4.5906052E7</v>
      </c>
      <c r="C12" s="21">
        <v>4.2021813E7</v>
      </c>
      <c r="D12" s="22">
        <v>4.0450512E7</v>
      </c>
      <c r="E12" s="23">
        <v>3.2522174E7</v>
      </c>
      <c r="F12" s="2">
        <v>2.8448099E7</v>
      </c>
    </row>
    <row r="13">
      <c r="A13" s="24"/>
      <c r="B13" s="9">
        <v>1.25932861E9</v>
      </c>
      <c r="C13" s="10">
        <v>9.92886661E8</v>
      </c>
      <c r="D13" s="11">
        <v>8.33443027E8</v>
      </c>
      <c r="E13" s="12">
        <v>7.06666079E8</v>
      </c>
      <c r="F13" s="2">
        <v>6.62938624E8</v>
      </c>
    </row>
    <row r="14">
      <c r="A14" s="25" t="s">
        <v>12</v>
      </c>
      <c r="B14" s="26"/>
      <c r="C14" s="24"/>
      <c r="D14" s="26"/>
      <c r="E14" s="24"/>
    </row>
    <row r="15">
      <c r="A15" s="8" t="s">
        <v>13</v>
      </c>
      <c r="B15" s="9">
        <v>1.0235374E7</v>
      </c>
      <c r="C15" s="10">
        <v>1.2629996E7</v>
      </c>
      <c r="D15" s="11">
        <v>1.5768947E7</v>
      </c>
      <c r="E15" s="12">
        <v>1.551288E7</v>
      </c>
      <c r="F15" s="13">
        <v>1.0769262E7</v>
      </c>
    </row>
    <row r="16">
      <c r="A16" s="8" t="s">
        <v>14</v>
      </c>
      <c r="B16" s="9">
        <v>1.23563761E8</v>
      </c>
      <c r="C16" s="10">
        <v>8.4163669E7</v>
      </c>
      <c r="D16" s="11">
        <v>5.1187681E7</v>
      </c>
      <c r="E16" s="12">
        <v>5.2702323E7</v>
      </c>
      <c r="F16" s="13">
        <v>7.1587311E7</v>
      </c>
    </row>
    <row r="17">
      <c r="A17" s="8" t="s">
        <v>15</v>
      </c>
      <c r="B17" s="9">
        <v>1.015162254E9</v>
      </c>
      <c r="C17" s="10">
        <v>7.90982287E8</v>
      </c>
      <c r="D17" s="11">
        <v>6.79246312E8</v>
      </c>
      <c r="E17" s="12">
        <v>5.73596926E8</v>
      </c>
      <c r="F17" s="13">
        <v>5.25805051E8</v>
      </c>
    </row>
    <row r="18">
      <c r="A18" s="8" t="s">
        <v>16</v>
      </c>
      <c r="B18" s="27" t="s">
        <v>5</v>
      </c>
      <c r="C18" s="17" t="s">
        <v>5</v>
      </c>
      <c r="D18" s="28" t="s">
        <v>5</v>
      </c>
      <c r="E18" s="18" t="s">
        <v>5</v>
      </c>
      <c r="F18" s="13" t="s">
        <v>5</v>
      </c>
    </row>
    <row r="19">
      <c r="A19" s="8" t="s">
        <v>17</v>
      </c>
      <c r="B19" s="9">
        <v>1.2E7</v>
      </c>
      <c r="C19" s="10">
        <v>1.2E7</v>
      </c>
      <c r="D19" s="11">
        <v>9992000.0</v>
      </c>
      <c r="E19" s="12">
        <v>9993600.0</v>
      </c>
      <c r="F19" s="29">
        <v>4992800.0</v>
      </c>
    </row>
    <row r="20">
      <c r="A20" s="8" t="s">
        <v>18</v>
      </c>
      <c r="B20" s="27" t="s">
        <v>5</v>
      </c>
      <c r="C20" s="17" t="s">
        <v>5</v>
      </c>
      <c r="D20" s="28" t="s">
        <v>5</v>
      </c>
      <c r="E20" s="18" t="s">
        <v>5</v>
      </c>
      <c r="F20" s="29" t="s">
        <v>5</v>
      </c>
    </row>
    <row r="21" ht="15.75" customHeight="1">
      <c r="A21" s="8" t="s">
        <v>19</v>
      </c>
      <c r="B21" s="9">
        <v>4.2326358E7</v>
      </c>
      <c r="C21" s="10">
        <v>3.8429434E7</v>
      </c>
      <c r="D21" s="11">
        <v>3.4704048E7</v>
      </c>
      <c r="E21" s="12">
        <v>2.1178476E7</v>
      </c>
      <c r="F21" s="30">
        <v>1.7098223E7</v>
      </c>
    </row>
    <row r="22" ht="15.75" customHeight="1">
      <c r="A22" s="31"/>
      <c r="B22" s="20">
        <v>1.203287747E9</v>
      </c>
      <c r="C22" s="21">
        <v>9.38205386E8</v>
      </c>
      <c r="D22" s="22">
        <v>7.91040844E8</v>
      </c>
      <c r="E22" s="23">
        <v>6.73065718E8</v>
      </c>
      <c r="F22" s="32">
        <v>6.30393388E8</v>
      </c>
    </row>
    <row r="23" ht="15.75" customHeight="1">
      <c r="A23" s="33" t="s">
        <v>20</v>
      </c>
      <c r="B23" s="20">
        <v>5.6040863E7</v>
      </c>
      <c r="C23" s="21">
        <v>5.4681275E7</v>
      </c>
      <c r="D23" s="22">
        <v>4.2402183E7</v>
      </c>
      <c r="E23" s="23">
        <v>3.3600361E7</v>
      </c>
      <c r="F23" s="34">
        <v>3.32545236E8</v>
      </c>
    </row>
    <row r="24" ht="15.75" customHeight="1">
      <c r="A24" s="8" t="s">
        <v>21</v>
      </c>
      <c r="B24" s="9">
        <v>1.2602602E7</v>
      </c>
      <c r="C24" s="35">
        <v>1.2602602E7</v>
      </c>
      <c r="D24" s="11">
        <v>1.2602602E7</v>
      </c>
      <c r="E24" s="12">
        <v>1.2602602E7</v>
      </c>
      <c r="F24" s="34">
        <v>1.2602602E7</v>
      </c>
    </row>
    <row r="25" ht="15.75" customHeight="1">
      <c r="A25" s="8" t="s">
        <v>22</v>
      </c>
      <c r="B25" s="9">
        <v>3.2832051E7</v>
      </c>
      <c r="C25" s="10">
        <v>2.5701665E7</v>
      </c>
      <c r="D25" s="11">
        <v>1.9408889E7</v>
      </c>
      <c r="E25" s="12">
        <v>1.5588694E7</v>
      </c>
      <c r="F25" s="34">
        <v>1.2139921E7</v>
      </c>
    </row>
    <row r="26" ht="15.75" customHeight="1">
      <c r="A26" s="8" t="s">
        <v>23</v>
      </c>
      <c r="B26" s="9">
        <v>1987976.0</v>
      </c>
      <c r="C26" s="10">
        <v>7670955.0</v>
      </c>
      <c r="D26" s="11">
        <v>4339893.0</v>
      </c>
      <c r="E26" s="12">
        <v>1654920.0</v>
      </c>
      <c r="F26" s="34">
        <v>5162131.0</v>
      </c>
    </row>
    <row r="27" ht="15.75" customHeight="1">
      <c r="A27" s="19" t="s">
        <v>24</v>
      </c>
      <c r="B27" s="20">
        <v>8618234.0</v>
      </c>
      <c r="C27" s="21">
        <v>8706053.0</v>
      </c>
      <c r="D27" s="22">
        <v>6002253.0</v>
      </c>
      <c r="E27" s="23">
        <v>3710867.0</v>
      </c>
      <c r="F27" s="32">
        <v>2703887.0</v>
      </c>
    </row>
    <row r="28" ht="15.75" customHeight="1">
      <c r="A28" s="36" t="s">
        <v>25</v>
      </c>
      <c r="B28" s="20">
        <v>5.6040863E7</v>
      </c>
      <c r="C28" s="21">
        <v>5.4681275E7</v>
      </c>
      <c r="D28" s="11">
        <v>4.2353637E7</v>
      </c>
      <c r="E28" s="12">
        <v>3.3557083E7</v>
      </c>
      <c r="F28" s="2">
        <v>3.2500883E7</v>
      </c>
    </row>
    <row r="29" ht="15.75" customHeight="1">
      <c r="A29" s="3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3.14"/>
    <col customWidth="1" min="3" max="3" width="14.14"/>
    <col customWidth="1" min="4" max="4" width="15.43"/>
    <col customWidth="1" min="5" max="5" width="13.71"/>
    <col customWidth="1" min="6" max="6" width="19.71"/>
    <col customWidth="1" min="7" max="7" width="11.86"/>
  </cols>
  <sheetData>
    <row r="1">
      <c r="B1" s="1" t="s">
        <v>26</v>
      </c>
    </row>
    <row r="2">
      <c r="C2" s="2">
        <v>2021.0</v>
      </c>
      <c r="D2" s="2">
        <v>2020.0</v>
      </c>
      <c r="E2" s="2">
        <v>2019.0</v>
      </c>
      <c r="F2" s="2">
        <v>2018.0</v>
      </c>
      <c r="G2" s="2">
        <v>2017.0</v>
      </c>
    </row>
    <row r="3">
      <c r="B3" s="38" t="s">
        <v>27</v>
      </c>
      <c r="C3" s="39">
        <v>7.7569443E7</v>
      </c>
      <c r="D3" s="40">
        <v>7.911832E7</v>
      </c>
      <c r="E3" s="41">
        <v>7.1704373E7</v>
      </c>
      <c r="F3" s="42">
        <v>4.3669883E7</v>
      </c>
      <c r="G3" s="43">
        <v>3.626722E7</v>
      </c>
    </row>
    <row r="4">
      <c r="B4" s="19" t="s">
        <v>28</v>
      </c>
      <c r="C4" s="44">
        <v>4.5139897E7</v>
      </c>
      <c r="D4" s="45">
        <v>4.8842539E7</v>
      </c>
      <c r="E4" s="46">
        <v>4.9567851E7</v>
      </c>
      <c r="F4" s="47">
        <v>2.5059925E7</v>
      </c>
      <c r="G4" s="48">
        <v>2.0071958E7</v>
      </c>
    </row>
    <row r="5">
      <c r="B5" s="8" t="s">
        <v>29</v>
      </c>
      <c r="C5" s="9">
        <v>3.2429546E7</v>
      </c>
      <c r="D5" s="10">
        <v>3.0275781E7</v>
      </c>
      <c r="E5" s="49">
        <v>2.2136522E7</v>
      </c>
      <c r="F5" s="50">
        <v>1.8609958E7</v>
      </c>
      <c r="G5" s="34">
        <v>1.7246397E7</v>
      </c>
    </row>
    <row r="6">
      <c r="B6" s="25" t="s">
        <v>30</v>
      </c>
      <c r="C6" s="26"/>
      <c r="D6" s="24"/>
      <c r="E6" s="51"/>
      <c r="F6" s="52"/>
      <c r="G6" s="53"/>
    </row>
    <row r="7">
      <c r="B7" s="17" t="s">
        <v>31</v>
      </c>
      <c r="C7" s="9">
        <v>4785268.0</v>
      </c>
      <c r="D7" s="10">
        <v>3991285.0</v>
      </c>
      <c r="E7" s="49">
        <v>3616428.0</v>
      </c>
      <c r="F7" s="50">
        <v>3116070.0</v>
      </c>
      <c r="G7" s="13">
        <v>2706794.0</v>
      </c>
    </row>
    <row r="8">
      <c r="B8" s="54" t="s">
        <v>32</v>
      </c>
      <c r="C8" s="9">
        <v>421964.0</v>
      </c>
      <c r="D8" s="10">
        <v>273524.0</v>
      </c>
      <c r="E8" s="55">
        <v>274440.0</v>
      </c>
      <c r="F8" s="56">
        <v>231312.0</v>
      </c>
      <c r="G8" s="13">
        <v>302894.0</v>
      </c>
    </row>
    <row r="9">
      <c r="B9" s="54" t="s">
        <v>33</v>
      </c>
      <c r="C9" s="9">
        <v>3123524.0</v>
      </c>
      <c r="D9" s="10">
        <v>2673493.0</v>
      </c>
      <c r="E9" s="49">
        <v>2507707.0</v>
      </c>
      <c r="F9" s="50">
        <v>1596027.0</v>
      </c>
      <c r="G9" s="13">
        <v>843032.0</v>
      </c>
    </row>
    <row r="10">
      <c r="B10" s="54" t="s">
        <v>34</v>
      </c>
      <c r="C10" s="27" t="s">
        <v>5</v>
      </c>
      <c r="D10" s="17" t="s">
        <v>5</v>
      </c>
      <c r="E10" s="57" t="s">
        <v>5</v>
      </c>
      <c r="F10" s="58" t="s">
        <v>5</v>
      </c>
      <c r="G10" s="13" t="s">
        <v>35</v>
      </c>
    </row>
    <row r="11">
      <c r="B11" s="17" t="s">
        <v>36</v>
      </c>
      <c r="C11" s="9">
        <v>814724.0</v>
      </c>
      <c r="D11" s="10">
        <v>2555400.0</v>
      </c>
      <c r="E11" s="55">
        <v>739351.0</v>
      </c>
      <c r="F11" s="56">
        <v>260103.0</v>
      </c>
      <c r="G11" s="29">
        <v>2063043.0</v>
      </c>
    </row>
    <row r="12">
      <c r="B12" s="17" t="s">
        <v>37</v>
      </c>
      <c r="C12" s="9">
        <v>402118.0</v>
      </c>
      <c r="D12" s="10">
        <v>349438.0</v>
      </c>
      <c r="E12" s="59">
        <v>266102.0</v>
      </c>
      <c r="F12" s="50">
        <v>418081.0</v>
      </c>
      <c r="G12" s="30">
        <v>347470.0</v>
      </c>
    </row>
    <row r="13">
      <c r="B13" s="60" t="s">
        <v>38</v>
      </c>
      <c r="C13" s="20">
        <v>9547598.0</v>
      </c>
      <c r="D13" s="21">
        <v>9843140.0</v>
      </c>
      <c r="E13" s="61">
        <v>7404028.0</v>
      </c>
      <c r="F13" s="62">
        <v>5621593.0</v>
      </c>
      <c r="G13" s="32">
        <v>6263233.0</v>
      </c>
    </row>
    <row r="14">
      <c r="B14" s="54" t="s">
        <v>39</v>
      </c>
      <c r="C14" s="9">
        <v>4.1977144E7</v>
      </c>
      <c r="D14" s="10">
        <v>4.0118921E7</v>
      </c>
      <c r="E14" s="49">
        <v>2.954055E7</v>
      </c>
      <c r="F14" s="50">
        <v>2.4231551E7</v>
      </c>
      <c r="G14" s="34">
        <v>2.350963E7</v>
      </c>
    </row>
    <row r="15">
      <c r="B15" s="25" t="s">
        <v>40</v>
      </c>
      <c r="C15" s="26"/>
      <c r="D15" s="24"/>
      <c r="E15" s="51"/>
      <c r="F15" s="52"/>
      <c r="G15" s="34"/>
    </row>
    <row r="16">
      <c r="B16" s="17" t="s">
        <v>41</v>
      </c>
      <c r="C16" s="9">
        <v>2.1017376E7</v>
      </c>
      <c r="D16" s="10">
        <v>2.0217974E7</v>
      </c>
      <c r="E16" s="49">
        <v>1.8235061E7</v>
      </c>
      <c r="F16" s="50">
        <v>1.6430676E7</v>
      </c>
      <c r="G16" s="13">
        <v>1.4948796E7</v>
      </c>
    </row>
    <row r="17">
      <c r="B17" s="17" t="s">
        <v>42</v>
      </c>
      <c r="C17" s="9">
        <v>213484.0</v>
      </c>
      <c r="D17" s="10">
        <v>42982.0</v>
      </c>
      <c r="E17" s="55">
        <v>42117.0</v>
      </c>
      <c r="F17" s="56">
        <v>-540060.0</v>
      </c>
      <c r="G17" s="13">
        <v>21832.0</v>
      </c>
    </row>
    <row r="18">
      <c r="B18" s="17" t="s">
        <v>43</v>
      </c>
      <c r="C18" s="9">
        <v>90139.0</v>
      </c>
      <c r="D18" s="10">
        <v>48149.0</v>
      </c>
      <c r="E18" s="59">
        <v>99947.0</v>
      </c>
      <c r="F18" s="58">
        <v>905.0</v>
      </c>
      <c r="G18" s="30">
        <v>193401.0</v>
      </c>
    </row>
    <row r="19">
      <c r="B19" s="60" t="s">
        <v>44</v>
      </c>
      <c r="C19" s="20">
        <v>2.1320999E7</v>
      </c>
      <c r="D19" s="21">
        <v>2.0309105E7</v>
      </c>
      <c r="E19" s="61">
        <v>1.8377125E7</v>
      </c>
      <c r="F19" s="62">
        <v>1.5891521E7</v>
      </c>
      <c r="G19" s="32">
        <v>1.5164029E7</v>
      </c>
    </row>
    <row r="20">
      <c r="B20" s="25" t="s">
        <v>45</v>
      </c>
      <c r="C20" s="9">
        <v>2.0656145E7</v>
      </c>
      <c r="D20" s="10">
        <v>1.9809816E7</v>
      </c>
      <c r="E20" s="63">
        <v>1.1163425E7</v>
      </c>
      <c r="F20" s="56">
        <v>8340030.0</v>
      </c>
      <c r="G20" s="2">
        <v>7169169.0</v>
      </c>
    </row>
    <row r="21" ht="15.75" customHeight="1">
      <c r="B21" s="17" t="s">
        <v>46</v>
      </c>
      <c r="C21" s="9">
        <v>4983944.0</v>
      </c>
      <c r="D21" s="10">
        <v>1974747.0</v>
      </c>
      <c r="E21" s="59">
        <v>773275.0</v>
      </c>
      <c r="F21" s="50">
        <v>1460575.0</v>
      </c>
      <c r="G21" s="2">
        <v>-176432.0</v>
      </c>
    </row>
    <row r="22" ht="15.75" customHeight="1">
      <c r="B22" s="60" t="s">
        <v>47</v>
      </c>
      <c r="C22" s="64" t="s">
        <v>5</v>
      </c>
      <c r="D22" s="65" t="s">
        <v>5</v>
      </c>
      <c r="E22" s="66" t="s">
        <v>5</v>
      </c>
      <c r="F22" s="67" t="s">
        <v>5</v>
      </c>
      <c r="G22" s="67" t="s">
        <v>5</v>
      </c>
    </row>
    <row r="23" ht="15.75" customHeight="1">
      <c r="B23" s="25" t="s">
        <v>48</v>
      </c>
      <c r="C23" s="9">
        <v>1.5672201E7</v>
      </c>
      <c r="D23" s="10">
        <v>1.7835069E7</v>
      </c>
      <c r="E23" s="63">
        <v>1.039015E7</v>
      </c>
      <c r="F23" s="56">
        <v>6879455.0</v>
      </c>
      <c r="G23" s="32">
        <v>8345601.0</v>
      </c>
    </row>
    <row r="24" ht="15.75" customHeight="1">
      <c r="B24" s="65" t="s">
        <v>49</v>
      </c>
      <c r="C24" s="20">
        <v>-5956468.0</v>
      </c>
      <c r="D24" s="21">
        <v>-6978072.0</v>
      </c>
      <c r="E24" s="68">
        <v>-3372249.0</v>
      </c>
      <c r="F24" s="62">
        <v>-2448177.0</v>
      </c>
      <c r="G24" s="32">
        <v>-3223915.0</v>
      </c>
    </row>
    <row r="25" ht="15.75" customHeight="1">
      <c r="B25" s="33" t="s">
        <v>50</v>
      </c>
      <c r="C25" s="20">
        <v>9715733.0</v>
      </c>
      <c r="D25" s="21">
        <v>1.0856997E7</v>
      </c>
      <c r="E25" s="69">
        <v>7032570.0</v>
      </c>
      <c r="F25" s="70">
        <v>4428619.0</v>
      </c>
      <c r="G25" s="34">
        <v>5128297.0</v>
      </c>
    </row>
    <row r="26" ht="15.75" customHeight="1">
      <c r="B26" s="8" t="s">
        <v>51</v>
      </c>
      <c r="C26" s="26"/>
      <c r="D26" s="24"/>
      <c r="E26" s="71"/>
      <c r="F26" s="72"/>
    </row>
    <row r="27" ht="15.75" customHeight="1">
      <c r="B27" s="8" t="s">
        <v>52</v>
      </c>
      <c r="C27" s="9">
        <v>9715733.0</v>
      </c>
      <c r="D27" s="10">
        <v>1.0846333E7</v>
      </c>
      <c r="E27" s="49">
        <v>7028756.0</v>
      </c>
      <c r="F27" s="50">
        <v>4429310.0</v>
      </c>
      <c r="G27" s="34">
        <v>5121863.0</v>
      </c>
    </row>
    <row r="28" ht="15.75" customHeight="1">
      <c r="B28" s="19" t="s">
        <v>53</v>
      </c>
      <c r="C28" s="64" t="s">
        <v>5</v>
      </c>
      <c r="D28" s="21">
        <v>10664.0</v>
      </c>
      <c r="E28" s="68">
        <v>3814.0</v>
      </c>
      <c r="F28" s="67">
        <v>-691.0</v>
      </c>
      <c r="G28" s="32">
        <v>6434.0</v>
      </c>
    </row>
    <row r="29" ht="15.75" customHeight="1">
      <c r="B29" s="31"/>
      <c r="C29" s="20">
        <v>9715733.0</v>
      </c>
      <c r="D29" s="21">
        <v>1.0856997E7</v>
      </c>
      <c r="E29" s="61">
        <v>7032570.0</v>
      </c>
      <c r="F29" s="62">
        <v>4428619.0</v>
      </c>
      <c r="G29" s="32">
        <v>5128297.0</v>
      </c>
    </row>
    <row r="30" ht="15.75" customHeight="1">
      <c r="B30" s="73"/>
      <c r="C30" s="2"/>
      <c r="D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32.0"/>
    <col customWidth="1" min="6" max="6" width="14.14"/>
    <col customWidth="1" min="7" max="7" width="12.86"/>
    <col customWidth="1" min="8" max="8" width="13.71"/>
    <col customWidth="1" min="9" max="9" width="19.71"/>
    <col customWidth="1" min="10" max="10" width="13.71"/>
    <col customWidth="1" min="11" max="26" width="8.86"/>
  </cols>
  <sheetData>
    <row r="1">
      <c r="A1" s="74" t="s">
        <v>54</v>
      </c>
      <c r="B1" s="75"/>
      <c r="C1" s="75"/>
      <c r="D1" s="75"/>
      <c r="E1" s="75"/>
      <c r="F1" s="75"/>
      <c r="G1" s="75"/>
      <c r="H1" s="75"/>
      <c r="I1" s="75"/>
      <c r="J1" s="76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8">
        <v>2021.0</v>
      </c>
      <c r="G4" s="78">
        <v>2020.0</v>
      </c>
      <c r="H4" s="78">
        <v>2019.0</v>
      </c>
      <c r="I4" s="78">
        <v>2018.0</v>
      </c>
      <c r="J4" s="78">
        <v>2017.0</v>
      </c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9" t="s">
        <v>55</v>
      </c>
      <c r="B5" s="80"/>
      <c r="C5" s="80"/>
      <c r="D5" s="80"/>
      <c r="E5" s="80"/>
      <c r="F5" s="80"/>
      <c r="G5" s="80"/>
      <c r="H5" s="80"/>
      <c r="I5" s="80"/>
      <c r="J5" s="81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82" t="s">
        <v>56</v>
      </c>
      <c r="B6" s="83"/>
      <c r="C6" s="83"/>
      <c r="D6" s="83"/>
      <c r="E6" s="83"/>
      <c r="F6" s="84">
        <v>9715733.0</v>
      </c>
      <c r="G6" s="84">
        <v>1.0856997E7</v>
      </c>
      <c r="H6" s="85">
        <v>7032570.0</v>
      </c>
      <c r="I6" s="85">
        <v>4428619.0</v>
      </c>
      <c r="J6" s="86">
        <v>5128297.0</v>
      </c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82" t="s">
        <v>25</v>
      </c>
      <c r="B7" s="83"/>
      <c r="C7" s="83"/>
      <c r="D7" s="83"/>
      <c r="E7" s="83"/>
      <c r="F7" s="84">
        <v>5.6040863E7</v>
      </c>
      <c r="G7" s="84">
        <v>5.4681275E7</v>
      </c>
      <c r="H7" s="84">
        <v>4.2353637E7</v>
      </c>
      <c r="I7" s="84">
        <v>3.3557083E7</v>
      </c>
      <c r="J7" s="87">
        <v>3.2500883E7</v>
      </c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82" t="s">
        <v>57</v>
      </c>
      <c r="B8" s="83"/>
      <c r="C8" s="83"/>
      <c r="D8" s="83"/>
      <c r="E8" s="83"/>
      <c r="F8" s="88" t="str">
        <f t="shared" ref="F8:J8" si="1">(F6/F7)*100</f>
        <v>17.34</v>
      </c>
      <c r="G8" s="88" t="str">
        <f t="shared" si="1"/>
        <v>19.86</v>
      </c>
      <c r="H8" s="88" t="str">
        <f t="shared" si="1"/>
        <v>16.60</v>
      </c>
      <c r="I8" s="88" t="str">
        <f t="shared" si="1"/>
        <v>13.20</v>
      </c>
      <c r="J8" s="89" t="str">
        <f t="shared" si="1"/>
        <v>15.78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82"/>
      <c r="B9" s="83"/>
      <c r="C9" s="83"/>
      <c r="D9" s="83"/>
      <c r="E9" s="83"/>
      <c r="F9" s="83"/>
      <c r="G9" s="83"/>
      <c r="H9" s="83"/>
      <c r="I9" s="83"/>
      <c r="J9" s="8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82" t="s">
        <v>58</v>
      </c>
      <c r="B10" s="83"/>
      <c r="C10" s="83"/>
      <c r="D10" s="83"/>
      <c r="E10" s="83"/>
      <c r="F10" s="83"/>
      <c r="G10" s="83"/>
      <c r="H10" s="83"/>
      <c r="I10" s="83"/>
      <c r="J10" s="8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82" t="s">
        <v>56</v>
      </c>
      <c r="B11" s="83"/>
      <c r="C11" s="83"/>
      <c r="D11" s="83"/>
      <c r="E11" s="83"/>
      <c r="F11" s="84">
        <v>9715733.0</v>
      </c>
      <c r="G11" s="84">
        <v>1.0856997E7</v>
      </c>
      <c r="H11" s="85">
        <v>7032570.0</v>
      </c>
      <c r="I11" s="85">
        <v>4428619.0</v>
      </c>
      <c r="J11" s="86">
        <v>5128297.0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82" t="s">
        <v>59</v>
      </c>
      <c r="B12" s="83"/>
      <c r="C12" s="83"/>
      <c r="D12" s="83"/>
      <c r="E12" s="83"/>
      <c r="F12" s="84">
        <v>1.25932861E9</v>
      </c>
      <c r="G12" s="84">
        <v>9.92886661E8</v>
      </c>
      <c r="H12" s="84">
        <v>8.33443027E8</v>
      </c>
      <c r="I12" s="84">
        <v>7.06666079E8</v>
      </c>
      <c r="J12" s="87">
        <v>6.62938624E8</v>
      </c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82" t="s">
        <v>60</v>
      </c>
      <c r="B13" s="83"/>
      <c r="C13" s="83"/>
      <c r="D13" s="83"/>
      <c r="E13" s="83"/>
      <c r="F13" s="88" t="str">
        <f t="shared" ref="F13:J13" si="2">(F11/F12)*100</f>
        <v>0.77</v>
      </c>
      <c r="G13" s="88" t="str">
        <f t="shared" si="2"/>
        <v>1.09</v>
      </c>
      <c r="H13" s="88" t="str">
        <f t="shared" si="2"/>
        <v>0.84</v>
      </c>
      <c r="I13" s="88" t="str">
        <f t="shared" si="2"/>
        <v>0.63</v>
      </c>
      <c r="J13" s="89" t="str">
        <f t="shared" si="2"/>
        <v>0.77</v>
      </c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82"/>
      <c r="B14" s="83"/>
      <c r="C14" s="83"/>
      <c r="D14" s="83"/>
      <c r="E14" s="83"/>
      <c r="F14" s="83"/>
      <c r="G14" s="83"/>
      <c r="H14" s="83"/>
      <c r="I14" s="83"/>
      <c r="J14" s="8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82" t="s">
        <v>61</v>
      </c>
      <c r="B15" s="83"/>
      <c r="C15" s="83"/>
      <c r="D15" s="83"/>
      <c r="E15" s="83"/>
      <c r="F15" s="83"/>
      <c r="G15" s="83"/>
      <c r="H15" s="83"/>
      <c r="I15" s="83"/>
      <c r="J15" s="8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82" t="s">
        <v>62</v>
      </c>
      <c r="B16" s="83"/>
      <c r="C16" s="83"/>
      <c r="D16" s="83"/>
      <c r="E16" s="83"/>
      <c r="F16" s="84">
        <v>9715733.0</v>
      </c>
      <c r="G16" s="84">
        <v>1.0856997E7</v>
      </c>
      <c r="H16" s="85">
        <v>7032570.0</v>
      </c>
      <c r="I16" s="85">
        <v>4428619.0</v>
      </c>
      <c r="J16" s="86">
        <v>5128297.0</v>
      </c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82" t="s">
        <v>63</v>
      </c>
      <c r="B17" s="83"/>
      <c r="C17" s="83"/>
      <c r="D17" s="83"/>
      <c r="E17" s="83"/>
      <c r="F17" s="84">
        <v>1.2602602E7</v>
      </c>
      <c r="G17" s="84">
        <v>1.2602602E7</v>
      </c>
      <c r="H17" s="84">
        <v>1.2602602E7</v>
      </c>
      <c r="I17" s="84">
        <v>1.2602602E7</v>
      </c>
      <c r="J17" s="86">
        <v>1.2602602E7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82" t="s">
        <v>64</v>
      </c>
      <c r="B18" s="83"/>
      <c r="C18" s="83"/>
      <c r="D18" s="83"/>
      <c r="E18" s="83"/>
      <c r="F18" s="88" t="str">
        <f t="shared" ref="F18:J18" si="3">F16/F17</f>
        <v>0.77</v>
      </c>
      <c r="G18" s="88" t="str">
        <f t="shared" si="3"/>
        <v>0.86</v>
      </c>
      <c r="H18" s="88" t="str">
        <f t="shared" si="3"/>
        <v>0.56</v>
      </c>
      <c r="I18" s="88" t="str">
        <f t="shared" si="3"/>
        <v>0.35</v>
      </c>
      <c r="J18" s="89" t="str">
        <f t="shared" si="3"/>
        <v>0.41</v>
      </c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82"/>
      <c r="B19" s="83"/>
      <c r="C19" s="83"/>
      <c r="D19" s="83"/>
      <c r="E19" s="83"/>
      <c r="F19" s="83"/>
      <c r="G19" s="83"/>
      <c r="H19" s="83"/>
      <c r="I19" s="83"/>
      <c r="J19" s="8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82" t="s">
        <v>65</v>
      </c>
      <c r="B20" s="83"/>
      <c r="C20" s="83"/>
      <c r="D20" s="83"/>
      <c r="E20" s="83"/>
      <c r="F20" s="83"/>
      <c r="G20" s="83"/>
      <c r="H20" s="83"/>
      <c r="I20" s="83"/>
      <c r="J20" s="8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82" t="s">
        <v>66</v>
      </c>
      <c r="B21" s="83"/>
      <c r="C21" s="83"/>
      <c r="D21" s="83"/>
      <c r="E21" s="83"/>
      <c r="F21" s="84">
        <v>7.7569443E7</v>
      </c>
      <c r="G21" s="84">
        <v>7.911832E7</v>
      </c>
      <c r="H21" s="85">
        <v>7.1704373E7</v>
      </c>
      <c r="I21" s="85">
        <v>4.3669883E7</v>
      </c>
      <c r="J21" s="86">
        <v>3.626722E7</v>
      </c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82" t="s">
        <v>67</v>
      </c>
      <c r="B22" s="83"/>
      <c r="C22" s="83"/>
      <c r="D22" s="83"/>
      <c r="E22" s="83"/>
      <c r="F22" s="84">
        <v>4.5139897E7</v>
      </c>
      <c r="G22" s="84">
        <v>4.8842539E7</v>
      </c>
      <c r="H22" s="85">
        <v>4.9567851E7</v>
      </c>
      <c r="I22" s="85">
        <v>2.5059925E7</v>
      </c>
      <c r="J22" s="86">
        <v>2.0071958E7</v>
      </c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82" t="s">
        <v>68</v>
      </c>
      <c r="B23" s="83"/>
      <c r="C23" s="83"/>
      <c r="D23" s="83"/>
      <c r="E23" s="83"/>
      <c r="F23" s="84">
        <v>1.25932861E9</v>
      </c>
      <c r="G23" s="84">
        <v>9.92886661E8</v>
      </c>
      <c r="H23" s="84">
        <v>8.33443027E8</v>
      </c>
      <c r="I23" s="84">
        <v>7.06666079E8</v>
      </c>
      <c r="J23" s="87">
        <v>6.62938624E8</v>
      </c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82" t="s">
        <v>69</v>
      </c>
      <c r="B24" s="83"/>
      <c r="C24" s="83"/>
      <c r="D24" s="83"/>
      <c r="E24" s="83"/>
      <c r="F24" s="90" t="str">
        <f t="shared" ref="F24:J24" si="4">((F21-F22)/F23)*100</f>
        <v>2.58</v>
      </c>
      <c r="G24" s="90" t="str">
        <f t="shared" si="4"/>
        <v>3.05</v>
      </c>
      <c r="H24" s="90" t="str">
        <f t="shared" si="4"/>
        <v>2.66</v>
      </c>
      <c r="I24" s="90" t="str">
        <f t="shared" si="4"/>
        <v>2.63</v>
      </c>
      <c r="J24" s="91" t="str">
        <f t="shared" si="4"/>
        <v>2.44</v>
      </c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82" t="s">
        <v>70</v>
      </c>
      <c r="B26" s="83"/>
      <c r="C26" s="83"/>
      <c r="D26" s="83"/>
      <c r="E26" s="83"/>
      <c r="F26" s="83"/>
      <c r="G26" s="83"/>
      <c r="H26" s="83"/>
      <c r="I26" s="83"/>
      <c r="J26" s="8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82" t="s">
        <v>71</v>
      </c>
      <c r="B27" s="83"/>
      <c r="C27" s="83"/>
      <c r="D27" s="83"/>
      <c r="E27" s="83"/>
      <c r="F27" s="84">
        <v>9547598.0</v>
      </c>
      <c r="G27" s="84">
        <v>9843140.0</v>
      </c>
      <c r="H27" s="85">
        <v>7404028.0</v>
      </c>
      <c r="I27" s="85">
        <v>5621593.0</v>
      </c>
      <c r="J27" s="86">
        <v>6263233.0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82" t="s">
        <v>72</v>
      </c>
      <c r="B28" s="83"/>
      <c r="C28" s="83"/>
      <c r="D28" s="83"/>
      <c r="E28" s="83"/>
      <c r="F28" s="84">
        <v>4983944.0</v>
      </c>
      <c r="G28" s="84">
        <v>1974747.0</v>
      </c>
      <c r="H28" s="85">
        <v>773275.0</v>
      </c>
      <c r="I28" s="85">
        <v>1460575.0</v>
      </c>
      <c r="J28" s="87">
        <v>-176432.0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customHeight="1">
      <c r="A29" s="82" t="s">
        <v>73</v>
      </c>
      <c r="B29" s="83"/>
      <c r="C29" s="83"/>
      <c r="D29" s="83"/>
      <c r="E29" s="83"/>
      <c r="F29" s="84">
        <v>2.1320999E7</v>
      </c>
      <c r="G29" s="84">
        <v>2.0309105E7</v>
      </c>
      <c r="H29" s="85">
        <v>1.8377125E7</v>
      </c>
      <c r="I29" s="85">
        <v>1.5891521E7</v>
      </c>
      <c r="J29" s="86">
        <v>1.5164029E7</v>
      </c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customHeight="1">
      <c r="A30" s="82" t="s">
        <v>68</v>
      </c>
      <c r="B30" s="83"/>
      <c r="C30" s="83"/>
      <c r="D30" s="83"/>
      <c r="E30" s="83"/>
      <c r="F30" s="84">
        <v>1.25932861E9</v>
      </c>
      <c r="G30" s="84">
        <v>9.92886661E8</v>
      </c>
      <c r="H30" s="84">
        <v>8.33443027E8</v>
      </c>
      <c r="I30" s="84">
        <v>7.06666079E8</v>
      </c>
      <c r="J30" s="87">
        <v>6.62938624E8</v>
      </c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82" t="s">
        <v>69</v>
      </c>
      <c r="B31" s="83"/>
      <c r="C31" s="83"/>
      <c r="D31" s="83"/>
      <c r="E31" s="83"/>
      <c r="F31" s="90" t="str">
        <f t="shared" ref="F31:J31" si="5">((F27-F28-F29)/F30)*100</f>
        <v>-1.33</v>
      </c>
      <c r="G31" s="90" t="str">
        <f t="shared" si="5"/>
        <v>-1.25</v>
      </c>
      <c r="H31" s="90" t="str">
        <f t="shared" si="5"/>
        <v>-1.41</v>
      </c>
      <c r="I31" s="90" t="str">
        <f t="shared" si="5"/>
        <v>-1.66</v>
      </c>
      <c r="J31" s="91" t="str">
        <f t="shared" si="5"/>
        <v>-1.32</v>
      </c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82"/>
      <c r="B32" s="83"/>
      <c r="C32" s="83"/>
      <c r="D32" s="83"/>
      <c r="E32" s="83"/>
      <c r="F32" s="83"/>
      <c r="G32" s="83"/>
      <c r="H32" s="83"/>
      <c r="I32" s="83"/>
      <c r="J32" s="8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82" t="s">
        <v>74</v>
      </c>
      <c r="B33" s="83"/>
      <c r="C33" s="83"/>
      <c r="D33" s="83"/>
      <c r="E33" s="83"/>
      <c r="F33" s="83"/>
      <c r="G33" s="83"/>
      <c r="H33" s="83"/>
      <c r="I33" s="83"/>
      <c r="J33" s="8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5.75" customHeight="1">
      <c r="A34" s="82" t="s">
        <v>75</v>
      </c>
      <c r="B34" s="83"/>
      <c r="C34" s="83"/>
      <c r="D34" s="83"/>
      <c r="E34" s="83"/>
      <c r="F34" s="84">
        <v>7.7569443E7</v>
      </c>
      <c r="G34" s="84">
        <v>7.911832E7</v>
      </c>
      <c r="H34" s="85">
        <v>7.1704373E7</v>
      </c>
      <c r="I34" s="85">
        <v>4.3669883E7</v>
      </c>
      <c r="J34" s="86">
        <v>3.626722E7</v>
      </c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5.75" customHeight="1">
      <c r="A35" s="82" t="s">
        <v>76</v>
      </c>
      <c r="B35" s="83"/>
      <c r="C35" s="83"/>
      <c r="D35" s="83"/>
      <c r="E35" s="83"/>
      <c r="F35" s="92" t="str">
        <f>SUM(BS!B6:B7)</f>
        <v>616,231,172</v>
      </c>
      <c r="G35" s="92" t="str">
        <f>SUM(BS!C6:C7)</f>
        <v>449,611,987</v>
      </c>
      <c r="H35" s="92" t="str">
        <f>SUM(BS!D6:D7)</f>
        <v>325,841,605</v>
      </c>
      <c r="I35" s="92" t="str">
        <f>SUM(BS!E6:E7)</f>
        <v>260,233,987</v>
      </c>
      <c r="J35" s="92" t="str">
        <f>SUM(BS!F6:F7)</f>
        <v>317,206,748</v>
      </c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82"/>
      <c r="B36" s="83"/>
      <c r="C36" s="83"/>
      <c r="D36" s="83"/>
      <c r="E36" s="83"/>
      <c r="F36" s="83"/>
      <c r="G36" s="83"/>
      <c r="H36" s="93"/>
      <c r="I36" s="83"/>
      <c r="J36" s="8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82" t="s">
        <v>77</v>
      </c>
      <c r="B37" s="83"/>
      <c r="C37" s="83"/>
      <c r="D37" s="83"/>
      <c r="E37" s="83"/>
      <c r="F37" s="84">
        <v>4.5139897E7</v>
      </c>
      <c r="G37" s="84">
        <v>4.8842539E7</v>
      </c>
      <c r="H37" s="85">
        <v>4.9567851E7</v>
      </c>
      <c r="I37" s="85">
        <v>2.5059925E7</v>
      </c>
      <c r="J37" s="86">
        <v>2.0071958E7</v>
      </c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94" t="s">
        <v>78</v>
      </c>
      <c r="B38" s="95"/>
      <c r="C38" s="95"/>
      <c r="D38" s="95"/>
      <c r="E38" s="95"/>
      <c r="F38" s="96" t="str">
        <f>SUM(BS!B16:B17)</f>
        <v>1,138,726,015</v>
      </c>
      <c r="G38" s="96" t="str">
        <f>SUM(BS!C16:C17)</f>
        <v>875,145,956</v>
      </c>
      <c r="H38" s="96" t="str">
        <f>SUM(BS!D16:D17)</f>
        <v>730,433,993</v>
      </c>
      <c r="I38" s="96" t="str">
        <f>SUM(BS!E16:E17)</f>
        <v>626,299,249</v>
      </c>
      <c r="J38" s="96" t="str">
        <f>SUM(BS!F16:F17)</f>
        <v>597,392,362</v>
      </c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97" t="s">
        <v>79</v>
      </c>
      <c r="B39" s="98"/>
      <c r="C39" s="98"/>
      <c r="D39" s="98"/>
      <c r="E39" s="98"/>
      <c r="F39" s="99" t="str">
        <f t="shared" ref="F39:J39" si="6">(F34/F35)-(F37/F38)</f>
        <v>9%</v>
      </c>
      <c r="G39" s="99" t="str">
        <f t="shared" si="6"/>
        <v>12%</v>
      </c>
      <c r="H39" s="99" t="str">
        <f t="shared" si="6"/>
        <v>15%</v>
      </c>
      <c r="I39" s="99" t="str">
        <f t="shared" si="6"/>
        <v>13%</v>
      </c>
      <c r="J39" s="99" t="str">
        <f t="shared" si="6"/>
        <v>8%</v>
      </c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43"/>
    <col customWidth="1" min="5" max="7" width="8.71"/>
  </cols>
  <sheetData>
    <row r="4">
      <c r="A4" s="74" t="s">
        <v>80</v>
      </c>
      <c r="B4" s="75"/>
      <c r="C4" s="75"/>
      <c r="D4" s="75"/>
      <c r="E4" s="75"/>
      <c r="F4" s="76"/>
    </row>
    <row r="5">
      <c r="A5" s="77"/>
      <c r="B5" s="77">
        <v>2021.0</v>
      </c>
      <c r="C5" s="77">
        <v>2020.0</v>
      </c>
      <c r="D5" s="77">
        <v>2019.0</v>
      </c>
      <c r="E5" s="77">
        <v>2018.0</v>
      </c>
      <c r="F5" s="77">
        <v>2017.0</v>
      </c>
    </row>
    <row r="6">
      <c r="A6" s="100" t="s">
        <v>81</v>
      </c>
      <c r="B6" s="101" t="str">
        <f>([1]IS!C25/[1]IS!C23)*([1]IS!C23/[1]IS!C14)*([1]IS!C14/[1]BS!B13)*([1]BS!B13/[1]BS!B28)</f>
        <v>#ERROR!</v>
      </c>
      <c r="C6" s="101" t="str">
        <f>([1]IS!D25/[1]IS!D23)*([1]IS!D23/[1]IS!D14)*([1]IS!D14/[1]BS!C13)*([1]BS!C13/[1]BS!C28)</f>
        <v>#ERROR!</v>
      </c>
      <c r="D6" s="101" t="str">
        <f>([1]IS!E25/[1]IS!E23)*([1]IS!E23/[1]IS!E14)*([1]IS!E14/[1]BS!D13)*([1]BS!D13/[1]BS!D28)</f>
        <v>#ERROR!</v>
      </c>
      <c r="E6" s="101" t="str">
        <f>([1]IS!F25/[1]IS!F23)*([1]IS!F23/[1]IS!F14)*([1]IS!F14/[1]BS!E13)*([1]BS!E13/[1]BS!E28)</f>
        <v>#ERROR!</v>
      </c>
      <c r="F6" s="101" t="str">
        <f>([1]IS!G25/[1]IS!G23)*([1]IS!G23/[1]IS!G14)*([1]IS!G14/[1]BS!F13)*([1]BS!F13/[1]BS!F28)</f>
        <v>#ERROR!</v>
      </c>
    </row>
    <row r="7">
      <c r="A7" s="100" t="s">
        <v>82</v>
      </c>
      <c r="B7" s="102" t="str">
        <f>[1]Working!F13*([1]BS!B13/[1]BS!B28)</f>
        <v>#ERROR!</v>
      </c>
      <c r="C7" s="102" t="str">
        <f>[1]Working!G13*([1]BS!C13/[1]BS!C28)</f>
        <v>#ERROR!</v>
      </c>
      <c r="D7" s="102" t="str">
        <f>[1]Working!H13*([1]BS!D13/[1]BS!D28)</f>
        <v>#ERROR!</v>
      </c>
      <c r="E7" s="102" t="str">
        <f>[1]Working!I13*([1]BS!E13/[1]BS!E28)</f>
        <v>#ERROR!</v>
      </c>
      <c r="F7" s="102" t="str">
        <f>[1]Working!J13*([1]BS!F13/[1]BS!F28)</f>
        <v>#ERROR!</v>
      </c>
    </row>
    <row r="8">
      <c r="A8" s="100" t="s">
        <v>83</v>
      </c>
      <c r="B8" s="102" t="str">
        <f>([1]IS!C25/[1]IS!C14)*([1]IS!C14/[1]BS!B13)*([1]BS!B13/[1]BS!B28)</f>
        <v>#ERROR!</v>
      </c>
      <c r="C8" s="102" t="str">
        <f>([1]IS!D25/[1]IS!D14)*([1]IS!D14/[1]BS!C13)*([1]BS!C13/[1]BS!C28)</f>
        <v>#ERROR!</v>
      </c>
      <c r="D8" s="102" t="str">
        <f>([1]IS!E25/[1]IS!E14)*([1]IS!E14/[1]BS!D13)*([1]BS!D13/[1]BS!D28)</f>
        <v>#ERROR!</v>
      </c>
      <c r="E8" s="102" t="str">
        <f>([1]IS!F25/[1]IS!F14)*([1]IS!F14/[1]BS!E13)*([1]BS!E13/[1]BS!E28)</f>
        <v>#ERROR!</v>
      </c>
      <c r="F8" s="102" t="str">
        <f>([1]IS!G25/[1]IS!G14)*([1]IS!G14/[1]BS!F13)*([1]BS!F13/[1]BS!F28)</f>
        <v>#ERROR!</v>
      </c>
    </row>
    <row r="10" ht="15.0" customHeight="1">
      <c r="B10" s="103">
        <v>0.1132</v>
      </c>
      <c r="C10" s="104">
        <v>0.08</v>
      </c>
      <c r="D10" s="104">
        <v>0.1345</v>
      </c>
      <c r="E10" s="104">
        <v>0.06</v>
      </c>
      <c r="F10" s="104">
        <v>0.06</v>
      </c>
      <c r="G10" t="s">
        <v>84</v>
      </c>
    </row>
    <row r="11" ht="15.0" customHeight="1">
      <c r="B11" s="103" t="str">
        <f t="shared" ref="B11:C11" si="1">B6-B10</f>
        <v>#ERROR!</v>
      </c>
      <c r="C11" s="103" t="str">
        <f t="shared" si="1"/>
        <v>#ERROR!</v>
      </c>
      <c r="D11" s="103" t="str">
        <f>+D6-D10</f>
        <v>#ERROR!</v>
      </c>
      <c r="E11" s="103" t="str">
        <f t="shared" ref="E11:F11" si="2">E6-E10</f>
        <v>#ERROR!</v>
      </c>
      <c r="F11" s="103" t="str">
        <f t="shared" si="2"/>
        <v>#ERROR!</v>
      </c>
      <c r="G11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A4:F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47.71"/>
    <col customWidth="1" min="4" max="4" width="15.29"/>
    <col customWidth="1" min="5" max="7" width="13.71"/>
    <col customWidth="1" min="8" max="8" width="15.57"/>
    <col customWidth="1" min="9" max="11" width="8.86"/>
  </cols>
  <sheetData>
    <row r="1" ht="14.25" customHeight="1">
      <c r="A1" s="105"/>
      <c r="B1" s="105"/>
      <c r="C1" s="106" t="s">
        <v>86</v>
      </c>
      <c r="D1" s="107"/>
      <c r="E1" s="107"/>
      <c r="F1" s="107"/>
      <c r="G1" s="107"/>
      <c r="H1" s="108"/>
      <c r="I1" s="105"/>
      <c r="J1" s="105"/>
      <c r="K1" s="105"/>
    </row>
    <row r="2" ht="14.2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</row>
    <row r="3" ht="14.25" customHeight="1">
      <c r="A3" s="105"/>
      <c r="B3" s="105"/>
      <c r="C3" s="105"/>
      <c r="D3" s="109">
        <v>2021.0</v>
      </c>
      <c r="E3" s="110">
        <v>2020.0</v>
      </c>
      <c r="F3" s="110">
        <v>2019.0</v>
      </c>
      <c r="G3" s="110">
        <v>2018.0</v>
      </c>
      <c r="H3" s="111">
        <v>2017.0</v>
      </c>
      <c r="I3" s="105"/>
      <c r="J3" s="105"/>
      <c r="K3" s="105"/>
    </row>
    <row r="4" ht="14.25" customHeight="1">
      <c r="A4" s="105"/>
      <c r="B4" s="105"/>
      <c r="C4" s="105"/>
      <c r="D4" s="112"/>
      <c r="E4" s="113"/>
      <c r="F4" s="113"/>
      <c r="G4" s="113"/>
      <c r="H4" s="114"/>
      <c r="I4" s="105"/>
      <c r="J4" s="105"/>
      <c r="K4" s="105"/>
    </row>
    <row r="5" ht="14.25" customHeight="1">
      <c r="A5" s="105"/>
      <c r="B5" s="105"/>
      <c r="C5" s="115" t="s">
        <v>68</v>
      </c>
      <c r="D5" s="116">
        <v>1.25932861E9</v>
      </c>
      <c r="E5" s="117">
        <v>9.92886661E8</v>
      </c>
      <c r="F5" s="117">
        <v>8.33443027E8</v>
      </c>
      <c r="G5" s="117">
        <v>7.06666079E8</v>
      </c>
      <c r="H5" s="118">
        <v>6.62938624E8</v>
      </c>
      <c r="I5" s="105"/>
      <c r="J5" s="105"/>
      <c r="K5" s="105"/>
    </row>
    <row r="6" ht="14.25" customHeight="1">
      <c r="A6" s="105"/>
      <c r="B6" s="105"/>
      <c r="C6" s="119"/>
      <c r="D6" s="120"/>
      <c r="E6" s="121"/>
      <c r="F6" s="121"/>
      <c r="G6" s="121"/>
      <c r="H6" s="122"/>
      <c r="I6" s="105"/>
      <c r="J6" s="105"/>
      <c r="K6" s="105"/>
    </row>
    <row r="7" ht="14.25" customHeight="1">
      <c r="A7" s="105"/>
      <c r="B7" s="105"/>
      <c r="C7" s="123" t="s">
        <v>87</v>
      </c>
      <c r="D7" s="124">
        <v>6.16231172E8</v>
      </c>
      <c r="E7" s="125">
        <v>4.49611987E8</v>
      </c>
      <c r="F7" s="125">
        <v>3.05435633E8</v>
      </c>
      <c r="G7" s="125">
        <v>2.60233987E8</v>
      </c>
      <c r="H7" s="126">
        <v>3.14956748E8</v>
      </c>
      <c r="I7" s="105"/>
      <c r="J7" s="105"/>
      <c r="K7" s="105"/>
    </row>
    <row r="8" ht="14.25" customHeight="1">
      <c r="A8" s="105"/>
      <c r="B8" s="105"/>
      <c r="C8" s="127" t="s">
        <v>88</v>
      </c>
      <c r="D8" s="128" t="str">
        <f t="shared" ref="D8:H8" si="1">D7/D5</f>
        <v>48.93%</v>
      </c>
      <c r="E8" s="129" t="str">
        <f t="shared" si="1"/>
        <v>45.28%</v>
      </c>
      <c r="F8" s="129" t="str">
        <f t="shared" si="1"/>
        <v>36.65%</v>
      </c>
      <c r="G8" s="129" t="str">
        <f t="shared" si="1"/>
        <v>36.83%</v>
      </c>
      <c r="H8" s="130" t="str">
        <f t="shared" si="1"/>
        <v>47.51%</v>
      </c>
      <c r="I8" s="105"/>
      <c r="J8" s="105"/>
      <c r="K8" s="105"/>
    </row>
    <row r="9" ht="14.25" customHeight="1">
      <c r="A9" s="105"/>
      <c r="B9" s="105"/>
      <c r="C9" s="119"/>
      <c r="D9" s="131"/>
      <c r="E9" s="132"/>
      <c r="F9" s="132"/>
      <c r="G9" s="132"/>
      <c r="H9" s="133"/>
      <c r="I9" s="105"/>
      <c r="J9" s="105"/>
      <c r="K9" s="105"/>
    </row>
    <row r="10" ht="14.25" customHeight="1">
      <c r="A10" s="105"/>
      <c r="B10" s="105"/>
      <c r="C10" s="123" t="s">
        <v>89</v>
      </c>
      <c r="D10" s="124">
        <v>4.77673022E8</v>
      </c>
      <c r="E10" s="125">
        <v>3.95416055E8</v>
      </c>
      <c r="F10" s="125">
        <v>3.72913863E8</v>
      </c>
      <c r="G10" s="125">
        <v>3.43107147E8</v>
      </c>
      <c r="H10" s="126">
        <v>2.58693086E8</v>
      </c>
      <c r="I10" s="105"/>
      <c r="J10" s="105"/>
      <c r="K10" s="105"/>
    </row>
    <row r="11" ht="14.25" customHeight="1">
      <c r="A11" s="105"/>
      <c r="B11" s="105"/>
      <c r="C11" s="127" t="s">
        <v>90</v>
      </c>
      <c r="D11" s="128" t="str">
        <f t="shared" ref="D11:H11" si="2">D10/D5</f>
        <v>37.93%</v>
      </c>
      <c r="E11" s="129" t="str">
        <f t="shared" si="2"/>
        <v>39.82%</v>
      </c>
      <c r="F11" s="129" t="str">
        <f t="shared" si="2"/>
        <v>44.74%</v>
      </c>
      <c r="G11" s="129" t="str">
        <f t="shared" si="2"/>
        <v>48.55%</v>
      </c>
      <c r="H11" s="130" t="str">
        <f t="shared" si="2"/>
        <v>39.02%</v>
      </c>
      <c r="I11" s="105"/>
      <c r="J11" s="105"/>
      <c r="K11" s="105"/>
    </row>
    <row r="12" ht="14.25" customHeight="1">
      <c r="A12" s="105"/>
      <c r="B12" s="105"/>
      <c r="C12" s="119"/>
      <c r="D12" s="131"/>
      <c r="E12" s="132"/>
      <c r="F12" s="132"/>
      <c r="G12" s="132"/>
      <c r="H12" s="133"/>
      <c r="I12" s="105"/>
      <c r="J12" s="105"/>
      <c r="K12" s="105"/>
    </row>
    <row r="13" ht="14.25" customHeight="1">
      <c r="A13" s="105"/>
      <c r="B13" s="105"/>
      <c r="C13" s="123" t="s">
        <v>91</v>
      </c>
      <c r="D13" s="124">
        <v>8.9432245E7</v>
      </c>
      <c r="E13" s="125">
        <v>7.3651718E7</v>
      </c>
      <c r="F13" s="125">
        <v>6.303929E7</v>
      </c>
      <c r="G13" s="125">
        <v>4.9187645E7</v>
      </c>
      <c r="H13" s="126">
        <v>4.4239325E7</v>
      </c>
      <c r="I13" s="105"/>
      <c r="J13" s="105"/>
      <c r="K13" s="105"/>
    </row>
    <row r="14" ht="14.25" customHeight="1">
      <c r="A14" s="105"/>
      <c r="B14" s="105"/>
      <c r="C14" s="127" t="s">
        <v>92</v>
      </c>
      <c r="D14" s="128" t="str">
        <f t="shared" ref="D14:H14" si="3">D13/D5</f>
        <v>7.10%</v>
      </c>
      <c r="E14" s="129" t="str">
        <f t="shared" si="3"/>
        <v>7.42%</v>
      </c>
      <c r="F14" s="129" t="str">
        <f t="shared" si="3"/>
        <v>7.56%</v>
      </c>
      <c r="G14" s="129" t="str">
        <f t="shared" si="3"/>
        <v>6.96%</v>
      </c>
      <c r="H14" s="130" t="str">
        <f t="shared" si="3"/>
        <v>6.67%</v>
      </c>
      <c r="I14" s="105"/>
      <c r="J14" s="105"/>
      <c r="K14" s="105"/>
    </row>
    <row r="15" ht="14.25" customHeight="1">
      <c r="A15" s="105"/>
      <c r="B15" s="105"/>
      <c r="C15" s="119"/>
      <c r="D15" s="131"/>
      <c r="E15" s="132"/>
      <c r="F15" s="132"/>
      <c r="G15" s="132"/>
      <c r="H15" s="133"/>
      <c r="I15" s="105"/>
      <c r="J15" s="105"/>
      <c r="K15" s="105"/>
    </row>
    <row r="16" ht="14.25" customHeight="1">
      <c r="A16" s="105"/>
      <c r="B16" s="105"/>
      <c r="C16" s="123" t="s">
        <v>93</v>
      </c>
      <c r="D16" s="116">
        <v>5.93924897E8</v>
      </c>
      <c r="E16" s="117">
        <v>4.29738711E8</v>
      </c>
      <c r="F16" s="117">
        <v>2.84916148E8</v>
      </c>
      <c r="G16" s="117">
        <v>2.49064623E8</v>
      </c>
      <c r="H16" s="118">
        <v>3.03088077E8</v>
      </c>
      <c r="I16" s="105"/>
      <c r="J16" s="105"/>
      <c r="K16" s="105"/>
    </row>
    <row r="17" ht="14.25" customHeight="1">
      <c r="A17" s="105"/>
      <c r="B17" s="105"/>
      <c r="C17" s="134" t="s">
        <v>94</v>
      </c>
      <c r="D17" s="116">
        <v>8.9432245E7</v>
      </c>
      <c r="E17" s="117">
        <v>7.3651718E7</v>
      </c>
      <c r="F17" s="117">
        <v>6.303929E7</v>
      </c>
      <c r="G17" s="117">
        <v>4.9187645E7</v>
      </c>
      <c r="H17" s="118">
        <v>4.4239325E7</v>
      </c>
      <c r="I17" s="105"/>
      <c r="J17" s="105"/>
      <c r="K17" s="105"/>
    </row>
    <row r="18" ht="14.25" customHeight="1">
      <c r="A18" s="105"/>
      <c r="B18" s="105"/>
      <c r="C18" s="135" t="s">
        <v>95</v>
      </c>
      <c r="D18" s="136" t="str">
        <f t="shared" ref="D18:H18" si="4">D17+D16</f>
        <v>  683,357,142 </v>
      </c>
      <c r="E18" s="137" t="str">
        <f t="shared" si="4"/>
        <v>  503,390,429 </v>
      </c>
      <c r="F18" s="137" t="str">
        <f t="shared" si="4"/>
        <v>  347,955,438 </v>
      </c>
      <c r="G18" s="137" t="str">
        <f t="shared" si="4"/>
        <v>  298,252,268 </v>
      </c>
      <c r="H18" s="138" t="str">
        <f t="shared" si="4"/>
        <v>  347,327,402 </v>
      </c>
      <c r="I18" s="105"/>
      <c r="J18" s="105"/>
      <c r="K18" s="105"/>
    </row>
    <row r="19" ht="14.25" customHeight="1">
      <c r="A19" s="105"/>
      <c r="B19" s="105"/>
      <c r="C19" s="127" t="s">
        <v>96</v>
      </c>
      <c r="D19" s="128" t="str">
        <f t="shared" ref="D19:H19" si="5">D18/D5</f>
        <v>54.26%</v>
      </c>
      <c r="E19" s="129" t="str">
        <f t="shared" si="5"/>
        <v>50.70%</v>
      </c>
      <c r="F19" s="129" t="str">
        <f t="shared" si="5"/>
        <v>41.75%</v>
      </c>
      <c r="G19" s="129" t="str">
        <f t="shared" si="5"/>
        <v>42.21%</v>
      </c>
      <c r="H19" s="130" t="str">
        <f t="shared" si="5"/>
        <v>52.39%</v>
      </c>
      <c r="I19" s="105"/>
      <c r="J19" s="105"/>
      <c r="K19" s="105"/>
    </row>
    <row r="20" ht="14.25" customHeight="1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</row>
    <row r="21" ht="14.25" customHeight="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</row>
    <row r="22" ht="14.2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</row>
    <row r="23" ht="14.2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</row>
    <row r="24" ht="14.2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</row>
    <row r="25" ht="14.2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</row>
    <row r="26" ht="14.25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</row>
    <row r="27" ht="14.25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</row>
    <row r="28" ht="14.25" customHeight="1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</row>
    <row r="29" ht="14.25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</row>
    <row r="30" ht="14.25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</row>
    <row r="31" ht="14.2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</row>
    <row r="32" ht="14.2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</row>
    <row r="33" ht="14.2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</row>
    <row r="34" ht="14.2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</row>
    <row r="35" ht="14.2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</row>
    <row r="36" ht="14.2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</row>
    <row r="37" ht="14.2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</row>
    <row r="38" ht="14.2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</row>
    <row r="39" ht="14.2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0" ht="14.2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</row>
    <row r="41" ht="14.2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</row>
    <row r="42" ht="14.2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</row>
    <row r="43" ht="14.2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4" ht="14.2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</row>
    <row r="45" ht="14.2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</row>
    <row r="46" ht="14.2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</row>
    <row r="47" ht="14.2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</row>
    <row r="48" ht="14.2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</row>
    <row r="49" ht="14.2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0" ht="14.2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</row>
    <row r="51" ht="14.2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</row>
    <row r="52" ht="14.2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</row>
    <row r="53" ht="14.2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</row>
    <row r="54" ht="14.2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</row>
    <row r="55" ht="14.2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</row>
    <row r="56" ht="14.2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</row>
    <row r="57" ht="14.2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</row>
    <row r="58" ht="14.2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</row>
    <row r="59" ht="14.2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</row>
    <row r="60" ht="14.2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</row>
    <row r="61" ht="14.2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</row>
    <row r="62" ht="14.2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</row>
    <row r="63" ht="14.2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</row>
    <row r="64" ht="14.2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</row>
    <row r="65" ht="14.2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</row>
    <row r="66" ht="14.2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</row>
    <row r="67" ht="14.2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</row>
    <row r="68" ht="14.2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</row>
    <row r="69" ht="14.2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</row>
    <row r="70" ht="14.2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</row>
    <row r="71" ht="14.2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</row>
    <row r="72" ht="14.2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</row>
    <row r="73" ht="14.2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</row>
    <row r="74" ht="14.2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</row>
    <row r="75" ht="14.2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</row>
    <row r="76" ht="14.2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</row>
    <row r="77" ht="14.2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</row>
    <row r="78" ht="14.2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</row>
    <row r="79" ht="14.2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</row>
    <row r="80" ht="14.2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</row>
    <row r="81" ht="14.2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</row>
    <row r="82" ht="14.2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</row>
    <row r="83" ht="14.2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</row>
    <row r="84" ht="14.2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 ht="14.2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</row>
    <row r="86" ht="14.2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</row>
    <row r="87" ht="14.2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</row>
    <row r="88" ht="14.2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</row>
    <row r="89" ht="14.2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</row>
    <row r="90" ht="14.2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</row>
    <row r="91" ht="14.2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</row>
    <row r="92" ht="14.2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</row>
    <row r="93" ht="14.2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</row>
    <row r="94" ht="14.2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</row>
    <row r="95" ht="14.2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</row>
    <row r="96" ht="14.2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</row>
    <row r="97" ht="14.2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</row>
    <row r="98" ht="14.2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</row>
    <row r="99" ht="14.2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</row>
    <row r="100" ht="14.2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</row>
  </sheetData>
  <mergeCells count="6">
    <mergeCell ref="C1:H1"/>
    <mergeCell ref="D3:D4"/>
    <mergeCell ref="E3:E4"/>
    <mergeCell ref="F3:F4"/>
    <mergeCell ref="G3:G4"/>
    <mergeCell ref="H3:H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29"/>
    <col customWidth="1" min="2" max="3" width="10.29"/>
    <col customWidth="1" min="4" max="8" width="21.0"/>
    <col customWidth="1" min="9" max="11" width="10.29"/>
  </cols>
  <sheetData>
    <row r="1">
      <c r="A1" s="139"/>
      <c r="B1" s="139"/>
      <c r="C1" s="139"/>
      <c r="D1" s="139">
        <v>2021.0</v>
      </c>
      <c r="E1" s="139">
        <v>2020.0</v>
      </c>
      <c r="F1" s="139">
        <v>2019.0</v>
      </c>
      <c r="G1" s="139">
        <v>2018.0</v>
      </c>
      <c r="H1" s="139">
        <v>2017.0</v>
      </c>
      <c r="I1" s="139"/>
      <c r="J1" s="139"/>
      <c r="K1" s="139"/>
    </row>
    <row r="2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>
      <c r="A3" s="139" t="s">
        <v>97</v>
      </c>
      <c r="B3" s="139"/>
      <c r="C3" s="139"/>
      <c r="D3" s="140">
        <v>0.1338</v>
      </c>
      <c r="E3" s="140">
        <v>0.1548</v>
      </c>
      <c r="F3" s="140">
        <v>0.1338</v>
      </c>
      <c r="G3" s="140">
        <v>0.1251</v>
      </c>
      <c r="H3" s="140">
        <v>0.1209</v>
      </c>
      <c r="I3" s="139"/>
      <c r="J3" s="139"/>
      <c r="K3" s="139"/>
    </row>
    <row r="4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</row>
    <row r="5">
      <c r="A5" s="141" t="s">
        <v>98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</row>
    <row r="6">
      <c r="A6" s="139" t="s">
        <v>99</v>
      </c>
      <c r="B6" s="139"/>
      <c r="C6" s="139"/>
      <c r="D6" s="142">
        <v>0.0614</v>
      </c>
      <c r="E6" s="142">
        <v>0.0681</v>
      </c>
      <c r="F6" s="142">
        <v>0.0706</v>
      </c>
      <c r="G6" s="143">
        <v>0.0722</v>
      </c>
      <c r="H6" s="142">
        <v>0.0941</v>
      </c>
      <c r="I6" s="139"/>
      <c r="J6" s="139"/>
      <c r="K6" s="139"/>
    </row>
    <row r="7">
      <c r="A7" s="139"/>
      <c r="B7" s="139"/>
      <c r="C7" s="139"/>
      <c r="D7" s="139"/>
      <c r="E7" s="139"/>
      <c r="F7" s="139"/>
      <c r="G7" s="139"/>
      <c r="H7" s="139"/>
      <c r="I7" s="139"/>
      <c r="J7" s="139"/>
      <c r="K7" s="139"/>
    </row>
    <row r="8">
      <c r="A8" s="141" t="s">
        <v>100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</row>
    <row r="9">
      <c r="A9" s="144" t="s">
        <v>101</v>
      </c>
      <c r="B9" s="139"/>
      <c r="C9" s="139"/>
      <c r="D9" s="145">
        <v>4.77588E11</v>
      </c>
      <c r="E9" s="145">
        <v>3.95374E11</v>
      </c>
      <c r="F9" s="145">
        <v>3.72914E11</v>
      </c>
      <c r="G9" s="145">
        <v>3.43107E11</v>
      </c>
      <c r="H9" s="145">
        <v>2.58693E11</v>
      </c>
      <c r="I9" s="139"/>
      <c r="J9" s="139"/>
      <c r="K9" s="139"/>
    </row>
    <row r="10">
      <c r="A10" s="144" t="s">
        <v>102</v>
      </c>
      <c r="B10" s="139"/>
      <c r="C10" s="139"/>
      <c r="D10" s="139">
        <v>7478.0</v>
      </c>
      <c r="E10" s="139">
        <v>7949.0</v>
      </c>
      <c r="F10" s="139">
        <v>7848.0</v>
      </c>
      <c r="G10" s="139">
        <v>7538.0</v>
      </c>
      <c r="H10" s="139">
        <v>7534.0</v>
      </c>
      <c r="I10" s="139"/>
      <c r="J10" s="139"/>
      <c r="K10" s="139"/>
    </row>
    <row r="11">
      <c r="A11" s="139" t="s">
        <v>103</v>
      </c>
      <c r="B11" s="139"/>
      <c r="C11" s="139"/>
      <c r="D11" s="146" t="str">
        <f t="shared" ref="D11:H11" si="1">D9/D10</f>
        <v>  63,865,739.50 </v>
      </c>
      <c r="E11" s="146" t="str">
        <f t="shared" si="1"/>
        <v>  49,738,835.07 </v>
      </c>
      <c r="F11" s="146" t="str">
        <f t="shared" si="1"/>
        <v>  47,517,074.41 </v>
      </c>
      <c r="G11" s="146" t="str">
        <f t="shared" si="1"/>
        <v>  45,516,980.63 </v>
      </c>
      <c r="H11" s="146" t="str">
        <f t="shared" si="1"/>
        <v>  34,336,740.11 </v>
      </c>
      <c r="I11" s="139"/>
      <c r="J11" s="139"/>
      <c r="K11" s="139"/>
    </row>
    <row r="12">
      <c r="A12" s="139"/>
      <c r="B12" s="139"/>
      <c r="C12" s="139"/>
      <c r="D12" s="146"/>
      <c r="E12" s="146"/>
      <c r="F12" s="146"/>
      <c r="G12" s="146"/>
      <c r="H12" s="146"/>
      <c r="I12" s="139"/>
      <c r="J12" s="139"/>
      <c r="K12" s="139"/>
    </row>
    <row r="13">
      <c r="A13" s="141" t="s">
        <v>104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>
      <c r="A14" s="139" t="s">
        <v>105</v>
      </c>
      <c r="B14" s="139"/>
      <c r="C14" s="139"/>
      <c r="D14" s="147">
        <v>0.7715010143381082</v>
      </c>
      <c r="E14" s="147">
        <v>1.0934779795576284</v>
      </c>
      <c r="F14" s="147">
        <v>0.8437973289324789</v>
      </c>
      <c r="G14" s="147">
        <v>0.6266918890838681</v>
      </c>
      <c r="H14" s="147">
        <v>0.7735704052144652</v>
      </c>
      <c r="I14" s="139"/>
      <c r="J14" s="139"/>
      <c r="K14" s="139"/>
    </row>
    <row r="15">
      <c r="A15" s="139" t="s">
        <v>80</v>
      </c>
      <c r="B15" s="139"/>
      <c r="C15" s="139"/>
      <c r="D15" s="140">
        <v>0.17336872560295868</v>
      </c>
      <c r="E15" s="140">
        <v>0.19855054586784968</v>
      </c>
      <c r="F15" s="140">
        <v>0.16604406370107014</v>
      </c>
      <c r="G15" s="140">
        <v>0.13197270454049898</v>
      </c>
      <c r="H15" s="140">
        <v>0.15778946682771666</v>
      </c>
      <c r="I15" s="139"/>
      <c r="J15" s="139"/>
      <c r="K15" s="139"/>
    </row>
    <row r="16">
      <c r="A16" s="139" t="s">
        <v>106</v>
      </c>
      <c r="B16" s="139"/>
      <c r="C16" s="139"/>
      <c r="D16" s="147">
        <v>2.575145656382729</v>
      </c>
      <c r="E16" s="147">
        <v>3.049268581119552</v>
      </c>
      <c r="F16" s="147">
        <v>2.6560330199990982</v>
      </c>
      <c r="G16" s="148">
        <v>2.6334868126590805</v>
      </c>
      <c r="H16" s="148">
        <v>2.4429504351823677</v>
      </c>
      <c r="I16" s="139"/>
      <c r="J16" s="139"/>
      <c r="K16" s="139"/>
    </row>
    <row r="17">
      <c r="A17" s="139" t="s">
        <v>107</v>
      </c>
      <c r="B17" s="139"/>
      <c r="C17" s="139"/>
      <c r="D17" s="140">
        <v>0.0862364807868823</v>
      </c>
      <c r="E17" s="140">
        <v>0.12015948444795888</v>
      </c>
      <c r="F17" s="140">
        <v>0.1521981636567428</v>
      </c>
      <c r="G17" s="140">
        <v>0.12779736613122</v>
      </c>
      <c r="H17" s="140">
        <v>0.08073377786067276</v>
      </c>
      <c r="I17" s="139"/>
      <c r="J17" s="139"/>
      <c r="K17" s="139"/>
    </row>
    <row r="18">
      <c r="A18" s="139" t="s">
        <v>108</v>
      </c>
      <c r="B18" s="139"/>
      <c r="C18" s="139"/>
      <c r="D18" s="148">
        <v>0.7709307173232957</v>
      </c>
      <c r="E18" s="148">
        <v>0.861488524353939</v>
      </c>
      <c r="F18" s="148">
        <v>0.5580252395497374</v>
      </c>
      <c r="G18" s="148">
        <v>0.3514051304643279</v>
      </c>
      <c r="H18" s="148">
        <v>0.4069236654462309</v>
      </c>
      <c r="I18" s="139"/>
      <c r="J18" s="139"/>
      <c r="K18" s="139"/>
    </row>
    <row r="19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</row>
    <row r="20">
      <c r="A20" s="141" t="s">
        <v>109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ht="15.75" customHeight="1">
      <c r="A21" s="139" t="s">
        <v>110</v>
      </c>
      <c r="B21" s="139"/>
      <c r="C21" s="139"/>
      <c r="D21" s="148" t="str">
        <f>[1]BS!B4/[1]BS!B13</f>
        <v>#ERROR!</v>
      </c>
      <c r="E21" s="148" t="str">
        <f>[1]BS!C4/[1]BS!C13</f>
        <v>#ERROR!</v>
      </c>
      <c r="F21" s="148" t="str">
        <f>[1]BS!D4/[1]BS!D13</f>
        <v>#ERROR!</v>
      </c>
      <c r="G21" s="148" t="str">
        <f>[1]BS!E4/[1]BS!E13</f>
        <v>#ERROR!</v>
      </c>
      <c r="H21" s="148" t="str">
        <f>[1]BS!F4/[1]BS!F13</f>
        <v>#ERROR!</v>
      </c>
      <c r="I21" s="139"/>
      <c r="J21" s="139"/>
      <c r="K21" s="139"/>
    </row>
    <row r="22" ht="15.75" customHeight="1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</row>
    <row r="23" ht="15.7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</row>
    <row r="24" ht="15.75" customHeight="1">
      <c r="A24" s="141" t="s">
        <v>111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</row>
    <row r="25" ht="15.75" customHeight="1">
      <c r="A25" s="149" t="s">
        <v>63</v>
      </c>
      <c r="B25" s="139"/>
      <c r="C25" s="139"/>
      <c r="D25" s="150">
        <v>1.26026018E9</v>
      </c>
      <c r="E25" s="150">
        <v>1.26026018E9</v>
      </c>
      <c r="F25" s="150">
        <v>1.26026018E9</v>
      </c>
      <c r="G25" s="150">
        <v>1.26026018E9</v>
      </c>
      <c r="H25" s="150">
        <v>1.26026018E9</v>
      </c>
      <c r="I25" s="139"/>
      <c r="J25" s="139"/>
      <c r="K25" s="139"/>
    </row>
    <row r="26" ht="15.75" customHeight="1">
      <c r="A26" s="149" t="s">
        <v>112</v>
      </c>
      <c r="B26" s="139"/>
      <c r="C26" s="139"/>
      <c r="D26" s="149">
        <v>22.02</v>
      </c>
      <c r="E26" s="149">
        <v>23.39</v>
      </c>
      <c r="F26" s="149">
        <v>18.54</v>
      </c>
      <c r="G26" s="149">
        <v>23.92</v>
      </c>
      <c r="H26" s="149">
        <v>19.31</v>
      </c>
      <c r="I26" s="139"/>
      <c r="J26" s="139"/>
      <c r="K26" s="139"/>
    </row>
    <row r="27" ht="15.75" customHeight="1">
      <c r="A27" s="149"/>
      <c r="B27" s="139"/>
      <c r="C27" s="139"/>
      <c r="D27" s="149"/>
      <c r="E27" s="149"/>
      <c r="F27" s="149"/>
      <c r="G27" s="149"/>
      <c r="H27" s="149"/>
      <c r="I27" s="139"/>
      <c r="J27" s="139"/>
      <c r="K27" s="139"/>
    </row>
    <row r="28" ht="15.75" customHeight="1">
      <c r="A28" s="149" t="s">
        <v>113</v>
      </c>
      <c r="B28" s="139"/>
      <c r="C28" s="139"/>
      <c r="D28" s="149" t="str">
        <f t="shared" ref="D28:H28" si="2">D26*D25/1000</f>
        <v>27750929.16</v>
      </c>
      <c r="E28" s="149" t="str">
        <f t="shared" si="2"/>
        <v>29477485.61</v>
      </c>
      <c r="F28" s="149" t="str">
        <f t="shared" si="2"/>
        <v>23365223.74</v>
      </c>
      <c r="G28" s="149" t="str">
        <f t="shared" si="2"/>
        <v>30145423.51</v>
      </c>
      <c r="H28" s="149" t="str">
        <f t="shared" si="2"/>
        <v>24335624.08</v>
      </c>
      <c r="I28" s="139"/>
      <c r="J28" s="139"/>
      <c r="K28" s="139"/>
    </row>
    <row r="29" ht="15.75" customHeight="1">
      <c r="A29" s="149" t="s">
        <v>114</v>
      </c>
      <c r="B29" s="139"/>
      <c r="C29" s="139"/>
      <c r="D29" s="151">
        <v>5.6040863E7</v>
      </c>
      <c r="E29" s="151">
        <v>5.4681275E7</v>
      </c>
      <c r="F29" s="151">
        <v>4.2353637E7</v>
      </c>
      <c r="G29" s="151">
        <v>3.3557083E7</v>
      </c>
      <c r="H29" s="151">
        <v>3.2500883E7</v>
      </c>
      <c r="I29" s="139"/>
      <c r="J29" s="139"/>
      <c r="K29" s="139"/>
    </row>
    <row r="30" ht="15.75" customHeight="1">
      <c r="A30" s="149" t="s">
        <v>115</v>
      </c>
      <c r="B30" s="139"/>
      <c r="C30" s="139"/>
      <c r="D30" s="152" t="str">
        <f t="shared" ref="D30:H30" si="3">D29/D28</f>
        <v>202%</v>
      </c>
      <c r="E30" s="152" t="str">
        <f t="shared" si="3"/>
        <v>186%</v>
      </c>
      <c r="F30" s="152" t="str">
        <f t="shared" si="3"/>
        <v>181%</v>
      </c>
      <c r="G30" s="152" t="str">
        <f t="shared" si="3"/>
        <v>111%</v>
      </c>
      <c r="H30" s="152" t="str">
        <f t="shared" si="3"/>
        <v>134%</v>
      </c>
      <c r="I30" s="139"/>
      <c r="J30" s="139"/>
      <c r="K30" s="139"/>
    </row>
    <row r="31" ht="15.75" customHeight="1">
      <c r="A31" s="149"/>
      <c r="B31" s="139"/>
      <c r="C31" s="139"/>
      <c r="D31" s="149"/>
      <c r="E31" s="149"/>
      <c r="F31" s="149"/>
      <c r="G31" s="149"/>
      <c r="H31" s="149"/>
      <c r="I31" s="139"/>
      <c r="J31" s="139"/>
      <c r="K31" s="139"/>
    </row>
    <row r="32" ht="15.75" customHeight="1">
      <c r="A32" s="149"/>
      <c r="B32" s="139"/>
      <c r="C32" s="139"/>
      <c r="D32" s="149"/>
      <c r="E32" s="149"/>
      <c r="F32" s="149"/>
      <c r="G32" s="149"/>
      <c r="H32" s="149"/>
      <c r="I32" s="139"/>
      <c r="J32" s="139"/>
      <c r="K32" s="139"/>
    </row>
    <row r="33" ht="15.75" customHeight="1">
      <c r="A33" s="149" t="s">
        <v>116</v>
      </c>
      <c r="B33" s="139"/>
      <c r="C33" s="139"/>
      <c r="D33" s="149"/>
      <c r="E33" s="149"/>
      <c r="F33" s="149"/>
      <c r="G33" s="149"/>
      <c r="H33" s="149"/>
      <c r="I33" s="139"/>
      <c r="J33" s="139"/>
      <c r="K33" s="139"/>
    </row>
    <row r="34" ht="15.75" customHeight="1">
      <c r="A34" s="149" t="s">
        <v>117</v>
      </c>
      <c r="B34" s="139"/>
      <c r="C34" s="139"/>
      <c r="D34" s="153" t="str">
        <f>3874491+5815489+712392+484050</f>
        <v>10,886,422.00</v>
      </c>
      <c r="E34" s="149" t="str">
        <f>3737141+5815489+747510+508900</f>
        <v>10809040</v>
      </c>
      <c r="F34" s="149" t="str">
        <f>3226063+4797275+785918+535026</f>
        <v>9344282</v>
      </c>
      <c r="G34" s="153" t="str">
        <f>3226063+4858175+467177+545698</f>
        <v>9,097,113.00</v>
      </c>
      <c r="H34" s="153" t="str">
        <f>2909012+1880715+491179+573737</f>
        <v>5,854,643.00</v>
      </c>
      <c r="I34" s="139"/>
      <c r="J34" s="144" t="s">
        <v>118</v>
      </c>
      <c r="K34" s="139"/>
    </row>
    <row r="35" ht="15.75" customHeight="1">
      <c r="A35" s="149"/>
      <c r="B35" s="139"/>
      <c r="C35" s="139"/>
      <c r="D35" s="149"/>
      <c r="E35" s="149"/>
      <c r="F35" s="149"/>
      <c r="G35" s="149"/>
      <c r="H35" s="149"/>
      <c r="I35" s="139"/>
      <c r="J35" s="139"/>
      <c r="K35" s="139"/>
    </row>
    <row r="36" ht="15.75" customHeight="1">
      <c r="A36" s="149"/>
      <c r="B36" s="139"/>
      <c r="C36" s="139"/>
      <c r="D36" s="149"/>
      <c r="E36" s="149"/>
      <c r="F36" s="149"/>
      <c r="G36" s="149"/>
      <c r="H36" s="149"/>
      <c r="I36" s="139"/>
      <c r="J36" s="139"/>
      <c r="K36" s="139"/>
    </row>
    <row r="37" ht="15.75" customHeight="1">
      <c r="A37" s="149" t="s">
        <v>119</v>
      </c>
      <c r="B37" s="139"/>
      <c r="C37" s="139"/>
      <c r="D37" s="154"/>
      <c r="E37" s="154"/>
      <c r="F37" s="154"/>
      <c r="G37" s="154"/>
      <c r="H37" s="155"/>
      <c r="I37" s="139"/>
      <c r="J37" s="139"/>
      <c r="K37" s="139"/>
    </row>
    <row r="38" ht="15.75" customHeight="1">
      <c r="A38" s="149" t="s">
        <v>120</v>
      </c>
      <c r="B38" s="139"/>
      <c r="C38" s="139"/>
      <c r="D38" s="150">
        <v>1.23803338E8</v>
      </c>
      <c r="E38" s="150">
        <v>9.8209659E7</v>
      </c>
      <c r="F38" s="156">
        <v>8.0124923E7</v>
      </c>
      <c r="G38" s="156">
        <v>1.1171395E7</v>
      </c>
      <c r="H38" s="156">
        <v>6263449.0</v>
      </c>
      <c r="I38" s="139"/>
      <c r="J38" s="144" t="s">
        <v>118</v>
      </c>
      <c r="K38" s="139"/>
    </row>
    <row r="39" ht="15.75" customHeight="1">
      <c r="A39" s="149" t="s">
        <v>115</v>
      </c>
      <c r="B39" s="139"/>
      <c r="C39" s="139"/>
      <c r="D39" s="157"/>
      <c r="E39" s="157"/>
      <c r="F39" s="157"/>
      <c r="G39" s="157"/>
      <c r="H39" s="155"/>
      <c r="I39" s="139"/>
      <c r="J39" s="139"/>
      <c r="K39" s="139"/>
    </row>
    <row r="40" ht="15.7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</row>
    <row r="41" ht="15.7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</row>
    <row r="42" ht="15.7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</row>
    <row r="43" ht="15.7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</row>
    <row r="44" ht="15.7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</row>
    <row r="45" ht="15.7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</row>
    <row r="46" ht="15.7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</row>
    <row r="47" ht="15.7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</row>
    <row r="48" ht="15.7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</row>
    <row r="49" ht="15.7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</row>
    <row r="50" ht="15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</row>
    <row r="51" ht="15.7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</row>
    <row r="52" ht="15.7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</row>
    <row r="53" ht="15.7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</row>
    <row r="54" ht="15.7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</row>
    <row r="55" ht="15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</row>
    <row r="56" ht="15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</row>
    <row r="57" ht="15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</row>
    <row r="58" ht="15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</row>
    <row r="59" ht="15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</row>
    <row r="60" ht="15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</row>
    <row r="61" ht="15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</row>
    <row r="76" ht="15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</row>
    <row r="77" ht="15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</row>
    <row r="78" ht="15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6" width="15.57"/>
    <col customWidth="1" min="7" max="11" width="8.86"/>
  </cols>
  <sheetData>
    <row r="1">
      <c r="G1" s="2"/>
      <c r="H1" s="2"/>
      <c r="I1" s="2"/>
      <c r="J1" s="2"/>
      <c r="K1" s="2"/>
    </row>
    <row r="2">
      <c r="G2" s="2"/>
      <c r="H2" s="2"/>
      <c r="I2" s="2"/>
      <c r="J2" s="2"/>
      <c r="K2" s="2"/>
    </row>
    <row r="3">
      <c r="B3" s="158" t="s">
        <v>121</v>
      </c>
      <c r="C3" s="159"/>
      <c r="D3" s="159"/>
      <c r="E3" s="159"/>
      <c r="F3" s="160"/>
      <c r="G3" s="2"/>
      <c r="H3" s="2"/>
      <c r="I3" s="2"/>
      <c r="J3" s="2"/>
      <c r="K3" s="2"/>
    </row>
    <row r="4">
      <c r="G4" s="2"/>
      <c r="H4" s="2"/>
      <c r="I4" s="2"/>
      <c r="J4" s="2"/>
      <c r="K4" s="2"/>
    </row>
    <row r="5">
      <c r="G5" s="2"/>
      <c r="H5" s="2"/>
      <c r="I5" s="2"/>
      <c r="J5" s="2"/>
      <c r="K5" s="2"/>
    </row>
    <row r="6">
      <c r="A6" s="2"/>
      <c r="B6" s="161">
        <v>2021.0</v>
      </c>
      <c r="C6" s="162">
        <v>2020.0</v>
      </c>
      <c r="D6" s="162">
        <v>2019.0</v>
      </c>
      <c r="E6" s="162">
        <v>2018.0</v>
      </c>
      <c r="F6" s="163">
        <v>2017.0</v>
      </c>
      <c r="G6" s="2"/>
      <c r="H6" s="2"/>
      <c r="I6" s="2"/>
      <c r="J6" s="2"/>
      <c r="K6" s="2"/>
    </row>
    <row r="7">
      <c r="A7" s="164" t="s">
        <v>122</v>
      </c>
      <c r="B7" s="165">
        <v>3.0952961E7</v>
      </c>
      <c r="C7" s="165">
        <v>2.841081E7</v>
      </c>
      <c r="D7" s="165">
        <v>2.8133973E7</v>
      </c>
      <c r="E7" s="165">
        <v>2.6657086E7</v>
      </c>
      <c r="F7" s="165">
        <v>2.6753027E7</v>
      </c>
      <c r="G7" s="2"/>
      <c r="H7" s="2"/>
      <c r="I7" s="2"/>
      <c r="J7" s="2"/>
      <c r="K7" s="2"/>
    </row>
    <row r="8">
      <c r="A8" s="166" t="s">
        <v>123</v>
      </c>
      <c r="B8" s="167">
        <v>4.77673022E8</v>
      </c>
      <c r="C8" s="168">
        <v>3.95416055E8</v>
      </c>
      <c r="D8" s="168">
        <v>3.72913863E8</v>
      </c>
      <c r="E8" s="168">
        <v>3.43107147E8</v>
      </c>
      <c r="F8" s="169">
        <v>2.58693086E8</v>
      </c>
      <c r="G8" s="2"/>
      <c r="H8" s="2"/>
      <c r="I8" s="2"/>
      <c r="J8" s="2"/>
      <c r="K8" s="2"/>
    </row>
    <row r="9">
      <c r="A9" s="170"/>
      <c r="B9" s="171" t="str">
        <f t="shared" ref="B9:F9" si="1">B7/B8</f>
        <v>6.48%</v>
      </c>
      <c r="C9" s="171" t="str">
        <f t="shared" si="1"/>
        <v>7.19%</v>
      </c>
      <c r="D9" s="171" t="str">
        <f t="shared" si="1"/>
        <v>7.54%</v>
      </c>
      <c r="E9" s="171" t="str">
        <f t="shared" si="1"/>
        <v>7.77%</v>
      </c>
      <c r="F9" s="171" t="str">
        <f t="shared" si="1"/>
        <v>10.34%</v>
      </c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164" t="s">
        <v>124</v>
      </c>
      <c r="B11" s="165">
        <v>1043249.0</v>
      </c>
      <c r="C11">
        <v>-847.0</v>
      </c>
      <c r="D11">
        <v>637.0</v>
      </c>
      <c r="E11" s="172">
        <v>101909.0</v>
      </c>
      <c r="F11" s="173" t="s">
        <v>5</v>
      </c>
      <c r="G11" s="2"/>
      <c r="H11" s="2"/>
      <c r="I11" s="2"/>
      <c r="J11" s="2"/>
      <c r="K11" s="2"/>
    </row>
    <row r="12">
      <c r="A12" s="166" t="s">
        <v>123</v>
      </c>
      <c r="B12" s="167">
        <v>4.77673022E8</v>
      </c>
      <c r="C12" s="174">
        <v>3.95416055E8</v>
      </c>
      <c r="D12" s="174">
        <v>3.72913863E8</v>
      </c>
      <c r="E12" s="174">
        <v>3.43107147E8</v>
      </c>
      <c r="F12" s="175">
        <v>2.58693086E8</v>
      </c>
      <c r="G12" s="2"/>
      <c r="H12" s="2"/>
      <c r="I12" s="2"/>
      <c r="J12" s="2"/>
      <c r="K12" s="2"/>
    </row>
    <row r="13">
      <c r="A13" s="170"/>
      <c r="B13" s="176" t="str">
        <f t="shared" ref="B13:F13" si="2">B11/B12</f>
        <v>0.2184%</v>
      </c>
      <c r="C13" s="176" t="str">
        <f t="shared" si="2"/>
        <v>-0.0002%</v>
      </c>
      <c r="D13" s="176" t="str">
        <f t="shared" si="2"/>
        <v>0.0002%</v>
      </c>
      <c r="E13" s="176" t="str">
        <f t="shared" si="2"/>
        <v>0.0297%</v>
      </c>
      <c r="F13" s="176" t="str">
        <f t="shared" si="2"/>
        <v>#VALUE!</v>
      </c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164" t="s">
        <v>125</v>
      </c>
      <c r="B15" s="165">
        <v>2.8495568E7</v>
      </c>
      <c r="C15" s="165">
        <v>2.4820923E7</v>
      </c>
      <c r="D15" s="165">
        <v>2.4408056E7</v>
      </c>
      <c r="E15" s="165">
        <v>2.5113169E7</v>
      </c>
      <c r="F15" s="165">
        <v>2.4962069E7</v>
      </c>
      <c r="G15" s="2"/>
      <c r="H15" s="2"/>
      <c r="I15" s="2"/>
      <c r="J15" s="2"/>
      <c r="K15" s="2"/>
    </row>
    <row r="16">
      <c r="A16" s="166" t="s">
        <v>123</v>
      </c>
      <c r="B16" s="177">
        <v>4.77673022E8</v>
      </c>
      <c r="C16" s="178">
        <v>3.95416055E8</v>
      </c>
      <c r="D16" s="178">
        <v>3.72913863E8</v>
      </c>
      <c r="E16" s="178">
        <v>3.43107147E8</v>
      </c>
      <c r="F16" s="179">
        <v>2.58693086E8</v>
      </c>
      <c r="G16" s="2"/>
      <c r="H16" s="2"/>
      <c r="I16" s="2"/>
      <c r="J16" s="2"/>
      <c r="K16" s="2"/>
    </row>
    <row r="17">
      <c r="A17" s="170"/>
      <c r="B17" s="180" t="str">
        <f t="shared" ref="B17:F17" si="3">B15/B16</f>
        <v>5.97%</v>
      </c>
      <c r="C17" s="180" t="str">
        <f t="shared" si="3"/>
        <v>6.28%</v>
      </c>
      <c r="D17" s="180" t="str">
        <f t="shared" si="3"/>
        <v>6.55%</v>
      </c>
      <c r="E17" s="180" t="str">
        <f t="shared" si="3"/>
        <v>7.32%</v>
      </c>
      <c r="F17" s="180" t="str">
        <f t="shared" si="3"/>
        <v>9.65%</v>
      </c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164" t="s">
        <v>125</v>
      </c>
      <c r="B19" s="165">
        <v>2.8495568E7</v>
      </c>
      <c r="C19" s="165">
        <v>2.4820923E7</v>
      </c>
      <c r="D19" s="165">
        <v>2.4408056E7</v>
      </c>
      <c r="E19" s="165">
        <v>2.5113169E7</v>
      </c>
      <c r="F19" s="165">
        <v>2.4962069E7</v>
      </c>
      <c r="G19" s="2"/>
      <c r="H19" s="2"/>
      <c r="I19" s="2"/>
      <c r="J19" s="2"/>
      <c r="K19" s="2"/>
    </row>
    <row r="20">
      <c r="A20" s="166" t="s">
        <v>126</v>
      </c>
      <c r="B20" s="177">
        <v>5.6040863E7</v>
      </c>
      <c r="C20" s="178">
        <v>5.4681275E7</v>
      </c>
      <c r="D20" s="178">
        <v>4.2353637E7</v>
      </c>
      <c r="E20" s="178">
        <v>3.3557083E7</v>
      </c>
      <c r="F20" s="179">
        <v>3.2500883E7</v>
      </c>
      <c r="G20" s="2"/>
      <c r="H20" s="2"/>
      <c r="I20" s="2"/>
      <c r="J20" s="2"/>
      <c r="K20" s="2"/>
    </row>
    <row r="21" ht="15.75" customHeight="1">
      <c r="A21" s="170"/>
      <c r="B21" s="180" t="str">
        <f t="shared" ref="B21:F21" si="4">B19/B20</f>
        <v>50.85%</v>
      </c>
      <c r="C21" s="180" t="str">
        <f t="shared" si="4"/>
        <v>45.39%</v>
      </c>
      <c r="D21" s="180" t="str">
        <f t="shared" si="4"/>
        <v>57.63%</v>
      </c>
      <c r="E21" s="180" t="str">
        <f t="shared" si="4"/>
        <v>74.84%</v>
      </c>
      <c r="F21" s="180" t="str">
        <f t="shared" si="4"/>
        <v>76.80%</v>
      </c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164" t="s">
        <v>127</v>
      </c>
      <c r="B23" s="165">
        <v>3.0952961E7</v>
      </c>
      <c r="C23" s="165">
        <v>2.841081E7</v>
      </c>
      <c r="D23" s="165">
        <v>2.8133973E7</v>
      </c>
      <c r="E23" s="165">
        <v>2.6657086E7</v>
      </c>
      <c r="F23" s="165">
        <v>2.6753027E7</v>
      </c>
      <c r="G23" s="2"/>
      <c r="H23" s="2"/>
      <c r="I23" s="2"/>
      <c r="J23" s="2"/>
      <c r="K23" s="2"/>
    </row>
    <row r="24" ht="15.75" customHeight="1">
      <c r="A24" s="166" t="s">
        <v>126</v>
      </c>
      <c r="B24" s="177">
        <v>5.6040863E7</v>
      </c>
      <c r="C24" s="178">
        <v>5.4681275E7</v>
      </c>
      <c r="D24" s="178">
        <v>4.2353637E7</v>
      </c>
      <c r="E24" s="178">
        <v>3.3557083E7</v>
      </c>
      <c r="F24" s="179">
        <v>3.2500883E7</v>
      </c>
      <c r="G24" s="2"/>
      <c r="H24" s="2"/>
      <c r="I24" s="2"/>
      <c r="J24" s="2"/>
      <c r="K24" s="2"/>
    </row>
    <row r="25" ht="15.75" customHeight="1">
      <c r="A25" s="170"/>
      <c r="B25" s="180" t="str">
        <f t="shared" ref="B25:F25" si="5">B23/B24</f>
        <v>55.23%</v>
      </c>
      <c r="C25" s="180" t="str">
        <f t="shared" si="5"/>
        <v>51.96%</v>
      </c>
      <c r="D25" s="180" t="str">
        <f t="shared" si="5"/>
        <v>66.43%</v>
      </c>
      <c r="E25" s="180" t="str">
        <f t="shared" si="5"/>
        <v>79.44%</v>
      </c>
      <c r="F25" s="180" t="str">
        <f t="shared" si="5"/>
        <v>82.31%</v>
      </c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164" t="s">
        <v>128</v>
      </c>
      <c r="B27" s="181"/>
      <c r="C27" s="182"/>
      <c r="D27" s="182"/>
      <c r="E27" s="182"/>
      <c r="F27" s="183"/>
      <c r="G27" s="2"/>
      <c r="H27" s="2"/>
      <c r="I27" s="2"/>
      <c r="J27" s="2"/>
      <c r="K27" s="2"/>
    </row>
    <row r="28" ht="15.75" customHeight="1">
      <c r="A28" s="166" t="s">
        <v>123</v>
      </c>
      <c r="B28" s="177">
        <v>4.77673022E8</v>
      </c>
      <c r="C28" s="178">
        <v>3.95416055E8</v>
      </c>
      <c r="D28" s="178">
        <v>3.72913863E8</v>
      </c>
      <c r="E28" s="178">
        <v>3.43107147E8</v>
      </c>
      <c r="F28" s="179">
        <v>2.58693086E8</v>
      </c>
      <c r="G28" s="2"/>
      <c r="H28" s="2"/>
      <c r="I28" s="2"/>
      <c r="J28" s="2"/>
      <c r="K28" s="2"/>
    </row>
    <row r="29" ht="15.75" customHeight="1">
      <c r="A29" s="170"/>
      <c r="B29" s="184" t="str">
        <f t="shared" ref="B29:F29" si="6">B27/B28</f>
        <v>  -   </v>
      </c>
      <c r="C29" s="184" t="str">
        <f t="shared" si="6"/>
        <v>  -   </v>
      </c>
      <c r="D29" s="184" t="str">
        <f t="shared" si="6"/>
        <v>  -   </v>
      </c>
      <c r="E29" s="184" t="str">
        <f t="shared" si="6"/>
        <v>  -   </v>
      </c>
      <c r="F29" s="184" t="str">
        <f t="shared" si="6"/>
        <v>  -   </v>
      </c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164" t="s">
        <v>128</v>
      </c>
      <c r="B31" s="185"/>
      <c r="C31" s="182"/>
      <c r="D31" s="182"/>
      <c r="E31" s="182"/>
      <c r="F31" s="183"/>
      <c r="G31" s="2"/>
      <c r="H31" s="2"/>
      <c r="I31" s="2"/>
      <c r="J31" s="2"/>
      <c r="K31" s="2"/>
    </row>
    <row r="32" ht="15.75" customHeight="1">
      <c r="A32" s="166" t="s">
        <v>126</v>
      </c>
      <c r="B32" s="177">
        <v>5.6040863E7</v>
      </c>
      <c r="C32" s="178">
        <v>5.4681275E7</v>
      </c>
      <c r="D32" s="178">
        <v>4.2353637E7</v>
      </c>
      <c r="E32" s="178">
        <v>3.3557083E7</v>
      </c>
      <c r="F32" s="179">
        <v>3.2500883E7</v>
      </c>
      <c r="G32" s="2"/>
      <c r="H32" s="2"/>
      <c r="I32" s="2"/>
      <c r="J32" s="2"/>
      <c r="K32" s="2"/>
    </row>
    <row r="33" ht="15.75" customHeight="1">
      <c r="B33" s="184" t="str">
        <f t="shared" ref="B33:F33" si="7">B31/B32</f>
        <v>  -   </v>
      </c>
      <c r="C33" s="184" t="str">
        <f t="shared" si="7"/>
        <v>  -   </v>
      </c>
      <c r="D33" s="184" t="str">
        <f t="shared" si="7"/>
        <v>  -   </v>
      </c>
      <c r="E33" s="184" t="str">
        <f t="shared" si="7"/>
        <v>  -   </v>
      </c>
      <c r="F33" s="184" t="str">
        <f t="shared" si="7"/>
        <v>  -   </v>
      </c>
      <c r="G33" s="2"/>
      <c r="H33" s="2"/>
      <c r="I33" s="2"/>
      <c r="J33" s="2"/>
      <c r="K33" s="2"/>
    </row>
    <row r="34" ht="15.75" customHeight="1">
      <c r="G34" s="2"/>
      <c r="H34" s="2"/>
      <c r="I34" s="2"/>
      <c r="J34" s="2"/>
      <c r="K34" s="2"/>
    </row>
    <row r="35" ht="15.75" customHeight="1">
      <c r="G35" s="2"/>
      <c r="H35" s="2"/>
      <c r="I35" s="2"/>
      <c r="J35" s="2"/>
      <c r="K35" s="2"/>
    </row>
    <row r="36" ht="15.75" customHeight="1">
      <c r="G36" s="2"/>
      <c r="H36" s="2"/>
      <c r="I36" s="2"/>
      <c r="J36" s="2"/>
      <c r="K36" s="2"/>
    </row>
    <row r="37" ht="15.75" customHeight="1">
      <c r="G37" s="2"/>
      <c r="H37" s="2"/>
      <c r="I37" s="2"/>
      <c r="J37" s="2"/>
      <c r="K37" s="2"/>
    </row>
    <row r="38" ht="15.75" customHeight="1">
      <c r="G38" s="2"/>
      <c r="H38" s="2"/>
      <c r="I38" s="2"/>
      <c r="J38" s="2"/>
      <c r="K38" s="2"/>
    </row>
    <row r="39" ht="15.75" customHeight="1">
      <c r="G39" s="2"/>
      <c r="H39" s="2"/>
      <c r="I39" s="2"/>
      <c r="J39" s="2"/>
      <c r="K39" s="2"/>
    </row>
    <row r="40" ht="15.75" customHeight="1">
      <c r="G40" s="2"/>
      <c r="H40" s="2"/>
      <c r="I40" s="2"/>
      <c r="J40" s="2"/>
      <c r="K40" s="2"/>
    </row>
    <row r="41" ht="15.75" customHeight="1">
      <c r="G41" s="2"/>
      <c r="H41" s="2"/>
      <c r="I41" s="2"/>
      <c r="J41" s="2"/>
      <c r="K41" s="2"/>
    </row>
    <row r="42" ht="15.75" customHeight="1">
      <c r="G42" s="2"/>
      <c r="H42" s="2"/>
      <c r="I42" s="2"/>
      <c r="J42" s="2"/>
      <c r="K42" s="2"/>
    </row>
    <row r="43" ht="15.75" customHeight="1">
      <c r="G43" s="2"/>
      <c r="H43" s="2"/>
      <c r="I43" s="2"/>
      <c r="J43" s="2"/>
      <c r="K43" s="2"/>
    </row>
    <row r="44" ht="15.75" customHeight="1">
      <c r="G44" s="2"/>
      <c r="H44" s="2"/>
      <c r="I44" s="2"/>
      <c r="J44" s="2"/>
      <c r="K44" s="2"/>
    </row>
    <row r="45" ht="15.75" customHeight="1">
      <c r="G45" s="2"/>
      <c r="H45" s="2"/>
      <c r="I45" s="2"/>
      <c r="J45" s="2"/>
      <c r="K45" s="2"/>
    </row>
    <row r="46" ht="15.75" customHeight="1">
      <c r="G46" s="2"/>
      <c r="H46" s="2"/>
      <c r="I46" s="2"/>
      <c r="J46" s="2"/>
      <c r="K46" s="2"/>
    </row>
    <row r="47" ht="15.75" customHeight="1">
      <c r="G47" s="2"/>
      <c r="H47" s="2"/>
      <c r="I47" s="2"/>
      <c r="J47" s="2"/>
      <c r="K47" s="2"/>
    </row>
    <row r="48" ht="15.75" customHeight="1">
      <c r="G48" s="2"/>
      <c r="H48" s="2"/>
      <c r="I48" s="2"/>
      <c r="J48" s="2"/>
      <c r="K48" s="2"/>
    </row>
    <row r="49" ht="15.75" customHeight="1">
      <c r="G49" s="2"/>
      <c r="H49" s="2"/>
      <c r="I49" s="2"/>
      <c r="J49" s="2"/>
      <c r="K49" s="2"/>
    </row>
    <row r="50" ht="15.75" customHeight="1">
      <c r="G50" s="2"/>
      <c r="H50" s="2"/>
      <c r="I50" s="2"/>
      <c r="J50" s="2"/>
      <c r="K50" s="2"/>
    </row>
    <row r="51" ht="15.75" customHeight="1">
      <c r="G51" s="2"/>
      <c r="H51" s="2"/>
      <c r="I51" s="2"/>
      <c r="J51" s="2"/>
      <c r="K51" s="2"/>
    </row>
    <row r="52" ht="15.75" customHeight="1">
      <c r="G52" s="2"/>
      <c r="H52" s="2"/>
      <c r="I52" s="2"/>
      <c r="J52" s="2"/>
      <c r="K52" s="2"/>
    </row>
    <row r="53" ht="15.75" customHeight="1">
      <c r="G53" s="2"/>
      <c r="H53" s="2"/>
      <c r="I53" s="2"/>
      <c r="J53" s="2"/>
      <c r="K53" s="2"/>
    </row>
    <row r="54" ht="15.75" customHeight="1">
      <c r="G54" s="2"/>
      <c r="H54" s="2"/>
      <c r="I54" s="2"/>
      <c r="J54" s="2"/>
      <c r="K54" s="2"/>
    </row>
    <row r="55" ht="15.75" customHeight="1">
      <c r="G55" s="2"/>
      <c r="H55" s="2"/>
      <c r="I55" s="2"/>
      <c r="J55" s="2"/>
      <c r="K55" s="2"/>
    </row>
    <row r="56" ht="15.75" customHeight="1">
      <c r="G56" s="2"/>
      <c r="H56" s="2"/>
      <c r="I56" s="2"/>
      <c r="J56" s="2"/>
      <c r="K56" s="2"/>
    </row>
    <row r="57" ht="15.75" customHeight="1">
      <c r="G57" s="2"/>
      <c r="H57" s="2"/>
      <c r="I57" s="2"/>
      <c r="J57" s="2"/>
      <c r="K57" s="2"/>
    </row>
    <row r="58" ht="15.75" customHeight="1">
      <c r="G58" s="2"/>
      <c r="H58" s="2"/>
      <c r="I58" s="2"/>
      <c r="J58" s="2"/>
      <c r="K58" s="2"/>
    </row>
    <row r="59" ht="15.75" customHeight="1">
      <c r="G59" s="2"/>
      <c r="H59" s="2"/>
      <c r="I59" s="2"/>
      <c r="J59" s="2"/>
      <c r="K59" s="2"/>
    </row>
    <row r="60" ht="15.75" customHeight="1">
      <c r="G60" s="2"/>
      <c r="H60" s="2"/>
      <c r="I60" s="2"/>
      <c r="J60" s="2"/>
      <c r="K60" s="2"/>
    </row>
    <row r="61" ht="15.75" customHeight="1">
      <c r="G61" s="2"/>
      <c r="H61" s="2"/>
      <c r="I61" s="2"/>
      <c r="J61" s="2"/>
      <c r="K61" s="2"/>
    </row>
    <row r="62" ht="15.75" customHeight="1">
      <c r="G62" s="2"/>
      <c r="H62" s="2"/>
      <c r="I62" s="2"/>
      <c r="J62" s="2"/>
      <c r="K62" s="2"/>
    </row>
    <row r="63" ht="15.75" customHeight="1">
      <c r="G63" s="2"/>
      <c r="H63" s="2"/>
      <c r="I63" s="2"/>
      <c r="J63" s="2"/>
      <c r="K63" s="2"/>
    </row>
    <row r="64" ht="15.75" customHeight="1">
      <c r="G64" s="2"/>
      <c r="H64" s="2"/>
      <c r="I64" s="2"/>
      <c r="J64" s="2"/>
      <c r="K64" s="2"/>
    </row>
    <row r="65" ht="15.75" customHeight="1">
      <c r="G65" s="2"/>
      <c r="H65" s="2"/>
      <c r="I65" s="2"/>
      <c r="J65" s="2"/>
      <c r="K65" s="2"/>
    </row>
    <row r="66" ht="15.75" customHeight="1">
      <c r="G66" s="2"/>
      <c r="H66" s="2"/>
      <c r="I66" s="2"/>
      <c r="J66" s="2"/>
      <c r="K66" s="2"/>
    </row>
    <row r="67" ht="15.75" customHeight="1">
      <c r="G67" s="2"/>
      <c r="H67" s="2"/>
      <c r="I67" s="2"/>
      <c r="J67" s="2"/>
      <c r="K67" s="2"/>
    </row>
    <row r="68" ht="15.75" customHeight="1">
      <c r="G68" s="2"/>
      <c r="H68" s="2"/>
      <c r="I68" s="2"/>
      <c r="J68" s="2"/>
      <c r="K68" s="2"/>
    </row>
    <row r="69" ht="15.75" customHeight="1">
      <c r="G69" s="2"/>
      <c r="H69" s="2"/>
      <c r="I69" s="2"/>
      <c r="J69" s="2"/>
      <c r="K69" s="2"/>
    </row>
    <row r="70" ht="15.75" customHeight="1">
      <c r="G70" s="2"/>
      <c r="H70" s="2"/>
      <c r="I70" s="2"/>
      <c r="J70" s="2"/>
      <c r="K70" s="2"/>
    </row>
    <row r="71" ht="15.75" customHeight="1">
      <c r="G71" s="2"/>
      <c r="H71" s="2"/>
      <c r="I71" s="2"/>
      <c r="J71" s="2"/>
      <c r="K71" s="2"/>
    </row>
    <row r="72" ht="15.75" customHeight="1">
      <c r="G72" s="2"/>
      <c r="H72" s="2"/>
      <c r="I72" s="2"/>
      <c r="J72" s="2"/>
      <c r="K72" s="2"/>
    </row>
    <row r="73" ht="15.75" customHeight="1">
      <c r="G73" s="2"/>
      <c r="H73" s="2"/>
      <c r="I73" s="2"/>
      <c r="J73" s="2"/>
      <c r="K73" s="2"/>
    </row>
    <row r="74" ht="15.75" customHeight="1">
      <c r="G74" s="2"/>
      <c r="H74" s="2"/>
      <c r="I74" s="2"/>
      <c r="J74" s="2"/>
      <c r="K74" s="2"/>
    </row>
    <row r="75" ht="15.75" customHeight="1">
      <c r="G75" s="2"/>
      <c r="H75" s="2"/>
      <c r="I75" s="2"/>
      <c r="J75" s="2"/>
      <c r="K75" s="2"/>
    </row>
    <row r="76" ht="15.75" customHeight="1">
      <c r="G76" s="2"/>
      <c r="H76" s="2"/>
      <c r="I76" s="2"/>
      <c r="J76" s="2"/>
      <c r="K76" s="2"/>
    </row>
    <row r="77" ht="15.75" customHeight="1">
      <c r="G77" s="2"/>
      <c r="H77" s="2"/>
      <c r="I77" s="2"/>
      <c r="J77" s="2"/>
      <c r="K77" s="2"/>
    </row>
    <row r="78" ht="15.75" customHeight="1">
      <c r="G78" s="2"/>
      <c r="H78" s="2"/>
      <c r="I78" s="2"/>
      <c r="J78" s="2"/>
      <c r="K78" s="2"/>
    </row>
    <row r="79" ht="15.75" customHeight="1">
      <c r="G79" s="2"/>
      <c r="H79" s="2"/>
      <c r="I79" s="2"/>
      <c r="J79" s="2"/>
      <c r="K79" s="2"/>
    </row>
    <row r="80" ht="15.75" customHeight="1">
      <c r="G80" s="2"/>
      <c r="H80" s="2"/>
      <c r="I80" s="2"/>
      <c r="J80" s="2"/>
      <c r="K80" s="2"/>
    </row>
    <row r="81" ht="15.75" customHeight="1">
      <c r="G81" s="2"/>
      <c r="H81" s="2"/>
      <c r="I81" s="2"/>
      <c r="J81" s="2"/>
      <c r="K81" s="2"/>
    </row>
    <row r="82" ht="15.75" customHeight="1">
      <c r="G82" s="2"/>
      <c r="H82" s="2"/>
      <c r="I82" s="2"/>
      <c r="J82" s="2"/>
      <c r="K82" s="2"/>
    </row>
    <row r="83" ht="15.75" customHeight="1">
      <c r="G83" s="2"/>
      <c r="H83" s="2"/>
      <c r="I83" s="2"/>
      <c r="J83" s="2"/>
      <c r="K83" s="2"/>
    </row>
    <row r="84" ht="15.75" customHeight="1">
      <c r="G84" s="2"/>
      <c r="H84" s="2"/>
      <c r="I84" s="2"/>
      <c r="J84" s="2"/>
      <c r="K84" s="2"/>
    </row>
    <row r="85" ht="15.75" customHeight="1">
      <c r="G85" s="2"/>
      <c r="H85" s="2"/>
      <c r="I85" s="2"/>
      <c r="J85" s="2"/>
      <c r="K85" s="2"/>
    </row>
    <row r="86" ht="15.75" customHeight="1">
      <c r="G86" s="2"/>
      <c r="H86" s="2"/>
      <c r="I86" s="2"/>
      <c r="J86" s="2"/>
      <c r="K86" s="2"/>
    </row>
    <row r="87" ht="15.75" customHeight="1">
      <c r="G87" s="2"/>
      <c r="H87" s="2"/>
      <c r="I87" s="2"/>
      <c r="J87" s="2"/>
      <c r="K87" s="2"/>
    </row>
    <row r="88" ht="15.75" customHeight="1">
      <c r="G88" s="2"/>
      <c r="H88" s="2"/>
      <c r="I88" s="2"/>
      <c r="J88" s="2"/>
      <c r="K88" s="2"/>
    </row>
    <row r="89" ht="15.75" customHeight="1">
      <c r="G89" s="2"/>
      <c r="H89" s="2"/>
      <c r="I89" s="2"/>
      <c r="J89" s="2"/>
      <c r="K89" s="2"/>
    </row>
    <row r="90" ht="15.75" customHeight="1">
      <c r="G90" s="2"/>
      <c r="H90" s="2"/>
      <c r="I90" s="2"/>
      <c r="J90" s="2"/>
      <c r="K90" s="2"/>
    </row>
    <row r="91" ht="15.75" customHeight="1">
      <c r="G91" s="2"/>
      <c r="H91" s="2"/>
      <c r="I91" s="2"/>
      <c r="J91" s="2"/>
      <c r="K91" s="2"/>
    </row>
    <row r="92" ht="15.75" customHeight="1">
      <c r="G92" s="2"/>
      <c r="H92" s="2"/>
      <c r="I92" s="2"/>
      <c r="J92" s="2"/>
      <c r="K92" s="2"/>
    </row>
    <row r="93" ht="15.75" customHeight="1">
      <c r="G93" s="2"/>
      <c r="H93" s="2"/>
      <c r="I93" s="2"/>
      <c r="J93" s="2"/>
      <c r="K93" s="2"/>
    </row>
    <row r="94" ht="15.75" customHeight="1">
      <c r="G94" s="2"/>
      <c r="H94" s="2"/>
      <c r="I94" s="2"/>
      <c r="J94" s="2"/>
      <c r="K94" s="2"/>
    </row>
    <row r="95" ht="15.75" customHeight="1">
      <c r="G95" s="2"/>
      <c r="H95" s="2"/>
      <c r="I95" s="2"/>
      <c r="J95" s="2"/>
      <c r="K95" s="2"/>
    </row>
    <row r="96" ht="15.75" customHeight="1">
      <c r="G96" s="2"/>
      <c r="H96" s="2"/>
      <c r="I96" s="2"/>
      <c r="J96" s="2"/>
      <c r="K96" s="2"/>
    </row>
    <row r="97" ht="15.75" customHeight="1">
      <c r="G97" s="2"/>
      <c r="H97" s="2"/>
      <c r="I97" s="2"/>
      <c r="J97" s="2"/>
      <c r="K97" s="2"/>
    </row>
    <row r="98" ht="15.75" customHeight="1">
      <c r="G98" s="2"/>
      <c r="H98" s="2"/>
      <c r="I98" s="2"/>
      <c r="J98" s="2"/>
      <c r="K98" s="2"/>
    </row>
    <row r="99" ht="15.75" customHeight="1">
      <c r="G99" s="2"/>
      <c r="H99" s="2"/>
      <c r="I99" s="2"/>
      <c r="J99" s="2"/>
      <c r="K99" s="2"/>
    </row>
    <row r="100" ht="15.75" customHeight="1">
      <c r="G100" s="2"/>
      <c r="H100" s="2"/>
      <c r="I100" s="2"/>
      <c r="J100" s="2"/>
      <c r="K100" s="2"/>
    </row>
  </sheetData>
  <mergeCells count="1">
    <mergeCell ref="B3:F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6" width="18.0"/>
    <col customWidth="1" min="7" max="11" width="8.71"/>
  </cols>
  <sheetData>
    <row r="2">
      <c r="A2" s="1" t="s">
        <v>129</v>
      </c>
      <c r="B2" s="1">
        <v>2021.0</v>
      </c>
      <c r="C2" s="1">
        <v>2020.0</v>
      </c>
      <c r="D2" s="1">
        <v>2019.0</v>
      </c>
      <c r="E2" s="1">
        <v>2018.0</v>
      </c>
      <c r="F2" s="1">
        <v>2017.0</v>
      </c>
    </row>
    <row r="3">
      <c r="A3" s="1" t="s">
        <v>130</v>
      </c>
      <c r="B3" s="186" t="str">
        <f>1260260180*22.3</f>
        <v>  28,103,802,014 </v>
      </c>
      <c r="C3" s="186" t="str">
        <f>1260260180*23.39</f>
        <v>  29,477,485,610 </v>
      </c>
      <c r="D3" s="186" t="str">
        <f>1260260180*18.54</f>
        <v>  23,365,223,737 </v>
      </c>
      <c r="E3" s="186" t="str">
        <f>1260260180*23.92</f>
        <v>  30,145,423,506 </v>
      </c>
      <c r="F3" s="186" t="str">
        <f>1260260180*19.31</f>
        <v>  24,335,624,076 </v>
      </c>
    </row>
    <row r="4">
      <c r="A4" s="1" t="s">
        <v>131</v>
      </c>
      <c r="B4" s="186">
        <v>1.25932861E9</v>
      </c>
      <c r="C4" s="186">
        <v>9.92886661E8</v>
      </c>
      <c r="D4" s="186">
        <v>8.33443027E8</v>
      </c>
      <c r="E4" s="186">
        <v>7.06666079E8</v>
      </c>
      <c r="F4" s="186">
        <v>6.62938624E8</v>
      </c>
    </row>
    <row r="5">
      <c r="A5" s="1" t="s">
        <v>132</v>
      </c>
      <c r="B5" s="187" t="str">
        <f t="shared" ref="B5:F5" si="1">B4/B3</f>
        <v>  0.04481 </v>
      </c>
      <c r="C5" s="187" t="str">
        <f t="shared" si="1"/>
        <v>  0.03368 </v>
      </c>
      <c r="D5" s="187" t="str">
        <f t="shared" si="1"/>
        <v>  0.03567 </v>
      </c>
      <c r="E5" s="187" t="str">
        <f t="shared" si="1"/>
        <v>  0.02344 </v>
      </c>
      <c r="F5" s="187" t="str">
        <f t="shared" si="1"/>
        <v>  0.02724 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BS</vt:lpstr>
      <vt:lpstr>IS</vt:lpstr>
      <vt:lpstr>Working</vt:lpstr>
      <vt:lpstr>ROE</vt:lpstr>
      <vt:lpstr>Liquidity Risk Measures</vt:lpstr>
      <vt:lpstr>CAMELS</vt:lpstr>
      <vt:lpstr>Credit Risk Measures</vt:lpstr>
      <vt:lpstr>Market Risk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hp</dc:creator>
  <cp:lastModifiedBy>Shahid Ch</cp:lastModifiedBy>
  <dcterms:modified xsi:type="dcterms:W3CDTF">2022-04-13T14:09:50Z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CC828001A9E44007AEF6486291FBF00D</vt:lpwstr>
  </property>
  <property fmtid="{D5CDD505-2E9C-101B-9397-08002B2CF9AE}" pid="3" name="KSOProductBuildVer">
    <vt:lpwstr>1033-11.2.0.10451</vt:lpwstr>
  </property>
</Properties>
</file>