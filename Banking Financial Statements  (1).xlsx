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lance Sheet" sheetId="1" r:id="rId4"/>
    <sheet state="visible" name="Income Statement" sheetId="2" r:id="rId5"/>
    <sheet state="visible" name="Profitability Ratio" sheetId="3" r:id="rId6"/>
    <sheet state="visible" name="Risk Ratios" sheetId="4" r:id="rId7"/>
    <sheet state="visible" name="CAMELS" sheetId="5" r:id="rId8"/>
    <sheet state="visible" name="Sheet2" sheetId="6" r:id="rId9"/>
  </sheets>
  <definedNames/>
  <calcPr/>
</workbook>
</file>

<file path=xl/sharedStrings.xml><?xml version="1.0" encoding="utf-8"?>
<sst xmlns="http://schemas.openxmlformats.org/spreadsheetml/2006/main" count="256" uniqueCount="167">
  <si>
    <t>Rupees in ‘000</t>
  </si>
  <si>
    <t>Assets</t>
  </si>
  <si>
    <t>Cash and balances with treasury banks</t>
  </si>
  <si>
    <t>Balances with other banks</t>
  </si>
  <si>
    <t>Lendings to financial institutions</t>
  </si>
  <si>
    <t>–</t>
  </si>
  <si>
    <t>Investments</t>
  </si>
  <si>
    <t>Advances</t>
  </si>
  <si>
    <t>Fixed assets</t>
  </si>
  <si>
    <t>Intangible assets</t>
  </si>
  <si>
    <t>Deferred tax assets</t>
  </si>
  <si>
    <t>Other assets</t>
  </si>
  <si>
    <t>Assets attributable to discontinued operations</t>
  </si>
  <si>
    <t>Total Assets</t>
  </si>
  <si>
    <t>Liabilities</t>
  </si>
  <si>
    <t>Bills payable</t>
  </si>
  <si>
    <t>Borrowings</t>
  </si>
  <si>
    <t>Deposits and other accounts</t>
  </si>
  <si>
    <t>Liabilities against assets subject to finance lease</t>
  </si>
  <si>
    <t>Subordinated debts</t>
  </si>
  <si>
    <t>Deferred tax liabilities</t>
  </si>
  <si>
    <t>Other liabilities</t>
  </si>
  <si>
    <t>Total Liabilites</t>
  </si>
  <si>
    <t>Liabilities associated with discontionued operations</t>
  </si>
  <si>
    <t>Net Assets</t>
  </si>
  <si>
    <t>Represented By</t>
  </si>
  <si>
    <t>Share capital</t>
  </si>
  <si>
    <t>Reserves</t>
  </si>
  <si>
    <t>Surplus on revaluation of assets - net of tax</t>
  </si>
  <si>
    <t>Continued operations</t>
  </si>
  <si>
    <t>Discontinued operations</t>
  </si>
  <si>
    <t>Unappropriated profit</t>
  </si>
  <si>
    <t>Non-controlling interest</t>
  </si>
  <si>
    <t xml:space="preserve">Mark-up / return / interest earned </t>
  </si>
  <si>
    <t xml:space="preserve">77,569,443
</t>
  </si>
  <si>
    <t xml:space="preserve">79,118,320
</t>
  </si>
  <si>
    <t>Mark-up / return / interest expenses</t>
  </si>
  <si>
    <t>Net mark-up / interest income</t>
  </si>
  <si>
    <t>Non mark-up / interest income</t>
  </si>
  <si>
    <t>Fee and commission income</t>
  </si>
  <si>
    <t>Dividend income</t>
  </si>
  <si>
    <t>Foreign exchange income</t>
  </si>
  <si>
    <t>Income / (loss) from derivatives</t>
  </si>
  <si>
    <t>Gain on securities</t>
  </si>
  <si>
    <t>Other income</t>
  </si>
  <si>
    <t>Total non-markup / interest income</t>
  </si>
  <si>
    <t>Total income</t>
  </si>
  <si>
    <t>Non mark-up / interest expenses</t>
  </si>
  <si>
    <t>Operating expenses</t>
  </si>
  <si>
    <t>Workers’ welfare fund</t>
  </si>
  <si>
    <t>Total non-markup / interest expenses</t>
  </si>
  <si>
    <t>Profit before provisions</t>
  </si>
  <si>
    <t>Provisions and write offs - net</t>
  </si>
  <si>
    <t>Extraordinary / unusual items</t>
  </si>
  <si>
    <t>Profit before taxation</t>
  </si>
  <si>
    <t>Taxation</t>
  </si>
  <si>
    <t>Profit after taxation</t>
  </si>
  <si>
    <t>(Loss) / profit after taxation - discontinued operations</t>
  </si>
  <si>
    <t>Attributable to:</t>
  </si>
  <si>
    <t>Equity holders of the Bank</t>
  </si>
  <si>
    <t>Basic and diluted earnings per share</t>
  </si>
  <si>
    <t>Earning Assets</t>
  </si>
  <si>
    <t>Loans and Advances</t>
  </si>
  <si>
    <t>Lending to Financial Institutions - Net</t>
  </si>
  <si>
    <t xml:space="preserve">Balances with other banks </t>
  </si>
  <si>
    <t>TOTAL EARNING ASSETS</t>
  </si>
  <si>
    <t>Interest Bearing Liabilities</t>
  </si>
  <si>
    <t>Deposits (less of Current Accounts)</t>
  </si>
  <si>
    <t>Current Account Deposits</t>
  </si>
  <si>
    <t>Subordinated Debts</t>
  </si>
  <si>
    <t>Lease liability against ROU assets as per IFRS - 16 Leases</t>
  </si>
  <si>
    <t>Total Interest Bearing Liability</t>
  </si>
  <si>
    <t>Net Income</t>
  </si>
  <si>
    <t>Equity</t>
  </si>
  <si>
    <t>Total Operating Revenue</t>
  </si>
  <si>
    <t>Workings</t>
  </si>
  <si>
    <t>USE FOR NEXT RATIOS WHEN GIVEN</t>
  </si>
  <si>
    <t>Return on Equity</t>
  </si>
  <si>
    <t>ROE=(Net Income/ Pre-Tax Net Operating Income) * (Pre-Tax Net Operating Income/Total Operating Revenue) * (Total Operating Revenue/Total Assets) * (Total Assets/ TOtal Equity Capital )</t>
  </si>
  <si>
    <t>Credit Risk</t>
  </si>
  <si>
    <t>Nonperforming Loans/Total Loans</t>
  </si>
  <si>
    <t>Net Charge-Offs/Total Loans</t>
  </si>
  <si>
    <t>Provision for LOan Loses/Total Loans</t>
  </si>
  <si>
    <t>Provision for LOan Loses/Equity Capital</t>
  </si>
  <si>
    <t>Allowance for Loan Losses/ Toal Loans</t>
  </si>
  <si>
    <t>(Net Income/ Pre-Tax Net Operating Income)</t>
  </si>
  <si>
    <t>(Pre-Tax Net Operating Income/Total Operating Revenue)</t>
  </si>
  <si>
    <t>(Total Operating Revenue/Total Assets)</t>
  </si>
  <si>
    <t>(Total Assets/ TOtal Equity Capital )</t>
  </si>
  <si>
    <t xml:space="preserve">Market Risk Measures </t>
  </si>
  <si>
    <t>Book-Value of Assets/Market Value of Assets</t>
  </si>
  <si>
    <t>Book-Value of Equity/Market Value of Equity</t>
  </si>
  <si>
    <t>Market Value Per Share</t>
  </si>
  <si>
    <t>Number of Shares Outstanding</t>
  </si>
  <si>
    <t>Book Value of Shares</t>
  </si>
  <si>
    <t>Book-Value of Bonds/Market Value of Bonds</t>
  </si>
  <si>
    <t>Intrest Sensitive Assets/Intrest Sensitive Liabilities</t>
  </si>
  <si>
    <t>Intrest Sensitive Assets</t>
  </si>
  <si>
    <t>Intrest Sensitive Liabilitis</t>
  </si>
  <si>
    <t xml:space="preserve">Uninsured Deposits/Total Deposits </t>
  </si>
  <si>
    <t xml:space="preserve"> </t>
  </si>
  <si>
    <t>Uninsured Deposits</t>
  </si>
  <si>
    <t>Total Deposits</t>
  </si>
  <si>
    <t>Stock Price/Earnings Per Share</t>
  </si>
  <si>
    <t xml:space="preserve">Stock Price </t>
  </si>
  <si>
    <t>Earnings Per Share</t>
  </si>
  <si>
    <t>Profitability Ratios</t>
  </si>
  <si>
    <t>Return on Equity (ROE)</t>
  </si>
  <si>
    <t>Return on Assets (ROA)</t>
  </si>
  <si>
    <t>Net Interest Margin</t>
  </si>
  <si>
    <t>Net non Interest Margin</t>
  </si>
  <si>
    <t>NOM(Net Operating Margin)</t>
  </si>
  <si>
    <t>Earning Per Share</t>
  </si>
  <si>
    <t>Earning Spread</t>
  </si>
  <si>
    <t>Total Interest Income</t>
  </si>
  <si>
    <t>Total Earning Asset</t>
  </si>
  <si>
    <t>Total Interest Expense</t>
  </si>
  <si>
    <t xml:space="preserve">Equity Multiplier </t>
  </si>
  <si>
    <t>ROA = Net Profit Margin*Asset Utilization</t>
  </si>
  <si>
    <t>Net Profit Margin</t>
  </si>
  <si>
    <t>Asset Utilization</t>
  </si>
  <si>
    <t>Tax management effeciency</t>
  </si>
  <si>
    <t>Expense control effeciency</t>
  </si>
  <si>
    <t>Asset management effeciency</t>
  </si>
  <si>
    <t>Funds management effeciency</t>
  </si>
  <si>
    <t>Credit Risk Ratios</t>
  </si>
  <si>
    <t>Provision for loan losses/ Total Loans</t>
  </si>
  <si>
    <t>Provision for loan losses/ Equity Capital</t>
  </si>
  <si>
    <t>Allowance for loan losses/ Total Loans</t>
  </si>
  <si>
    <t>Allowance for Loan Losses / Equity Capital</t>
  </si>
  <si>
    <t>Non Perfoming Loans / Equity Capital</t>
  </si>
  <si>
    <t>Liquidity Risk Measures</t>
  </si>
  <si>
    <t>Purchased Funds / Total Assets</t>
  </si>
  <si>
    <t>Net Loans/Total Assets</t>
  </si>
  <si>
    <t>Cash and Due From Banks/Total Assets</t>
  </si>
  <si>
    <t>Cash and Government Securities/Total Assets</t>
  </si>
  <si>
    <t>Market Risk Measures</t>
  </si>
  <si>
    <t>Interest Rate Risk Measures</t>
  </si>
  <si>
    <t>Capital Risk Measures</t>
  </si>
  <si>
    <t>Equity Capital/Total Assets</t>
  </si>
  <si>
    <t>Purchased funds/Total liabilties</t>
  </si>
  <si>
    <t>Equity capital /Risk Assets</t>
  </si>
  <si>
    <t>Other Goals in Banking</t>
  </si>
  <si>
    <t>Operating Efficieny ratio</t>
  </si>
  <si>
    <t>Employee productivity ratio</t>
  </si>
  <si>
    <t>1. Capital Adequacy</t>
  </si>
  <si>
    <t>CAMELS</t>
  </si>
  <si>
    <t>Capital Adequacy</t>
  </si>
  <si>
    <t>Rank</t>
  </si>
  <si>
    <t>Asset Quality</t>
  </si>
  <si>
    <t>Weight</t>
  </si>
  <si>
    <t>Management</t>
  </si>
  <si>
    <t>Rank x Weight</t>
  </si>
  <si>
    <t xml:space="preserve">Earnings </t>
  </si>
  <si>
    <t>Liquidity</t>
  </si>
  <si>
    <t>2. Asset Quality</t>
  </si>
  <si>
    <t>Sensitivity</t>
  </si>
  <si>
    <t>Total</t>
  </si>
  <si>
    <t>Average Rating</t>
  </si>
  <si>
    <t>3. Management</t>
  </si>
  <si>
    <t>4. Earnings</t>
  </si>
  <si>
    <t>Earnings (ROA)</t>
  </si>
  <si>
    <t>Earnings (ROE)</t>
  </si>
  <si>
    <t>5. Liquidity</t>
  </si>
  <si>
    <t>1. Adances/Deposits</t>
  </si>
  <si>
    <t xml:space="preserve">2. Circulating Assets/ Total Assets </t>
  </si>
  <si>
    <t>6. Sensitivity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</si>
</sst>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.00;\(#,##0.00\)"/>
    <numFmt numFmtId="165" formatCode="0.0%"/>
    <numFmt numFmtId="166" formatCode="0.000%"/>
    <numFmt numFmtId="167" formatCode="0.000"/>
    <numFmt numFmtId="168" formatCode="0.0"/>
  </numFmts>
  <fonts count="14">
    <font>
      <sz val="11.0"/>
      <color/>
      <name val="Calibri"/>
    </font>
    <font>
      <b/>
      <sz val="11.0"/>
      <color/>
      <name val="Calibri"/>
    </font>
    <font>
      <sz val="11.0"/>
      <color rgb="FFFF0000"/>
      <name val="Calibri"/>
    </font>
    <font>
      <sz val="18.0"/>
      <color/>
      <name val="Calibri"/>
    </font>
    <font>
      <b/>
      <sz val="18.0"/>
      <color/>
      <name val="Calibri"/>
    </font>
    <font>
      <sz val="18.0"/>
      <color rgb="FF000000"/>
      <name val="Inconsolata"/>
    </font>
    <font>
      <sz val="18.0"/>
      <color rgb="FF000000"/>
      <name val="Roboto"/>
    </font>
    <font>
      <sz val="18.0"/>
      <color rgb="FF000000"/>
      <name val="Calibri"/>
    </font>
    <font>
      <b/>
      <sz val="28.0"/>
      <color/>
      <name val="Calibri"/>
    </font>
    <font/>
    <font>
      <b/>
      <sz val="20.0"/>
      <color/>
      <name val="Calibri"/>
    </font>
    <font>
      <b/>
      <sz val="14.0"/>
      <color/>
      <name val="Calibri"/>
    </font>
    <font>
      <sz val="14.0"/>
      <color/>
      <name val="Calibri"/>
    </font>
    <font>
      <i/>
      <sz val="11.0"/>
      <color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BE5F1"/>
        <bgColor rgb="FFDBE5F1"/>
      </patternFill>
    </fill>
  </fills>
  <borders count="14">
    <border/>
    <border>
      <left/>
      <righ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0" numFmtId="3" xfId="0" applyFont="1" applyNumberFormat="1"/>
    <xf borderId="1" fillId="2" fontId="0" numFmtId="3" xfId="0" applyBorder="1" applyFill="1" applyFont="1" applyNumberFormat="1"/>
    <xf borderId="0" fillId="0" fontId="0" numFmtId="0" xfId="0" applyFont="1"/>
    <xf borderId="0" fillId="0" fontId="2" numFmtId="3" xfId="0" applyFont="1" applyNumberFormat="1"/>
    <xf borderId="1" fillId="2" fontId="0" numFmtId="164" xfId="0" applyBorder="1" applyFont="1" applyNumberFormat="1"/>
    <xf borderId="0" fillId="0" fontId="0" numFmtId="10" xfId="0" applyFont="1" applyNumberFormat="1"/>
    <xf borderId="0" fillId="0" fontId="0" numFmtId="165" xfId="0" applyFont="1" applyNumberFormat="1"/>
    <xf borderId="1" fillId="2" fontId="0" numFmtId="0" xfId="0" applyBorder="1" applyFont="1"/>
    <xf borderId="0" fillId="0" fontId="3" numFmtId="0" xfId="0" applyFont="1"/>
    <xf borderId="0" fillId="0" fontId="4" numFmtId="0" xfId="0" applyFont="1"/>
    <xf borderId="0" fillId="0" fontId="3" numFmtId="3" xfId="0" applyFont="1" applyNumberFormat="1"/>
    <xf borderId="1" fillId="3" fontId="5" numFmtId="3" xfId="0" applyBorder="1" applyFill="1" applyFont="1" applyNumberFormat="1"/>
    <xf borderId="1" fillId="3" fontId="6" numFmtId="3" xfId="0" applyBorder="1" applyFont="1" applyNumberFormat="1"/>
    <xf borderId="1" fillId="0" fontId="3" numFmtId="0" xfId="0" applyBorder="1" applyFont="1"/>
    <xf borderId="1" fillId="0" fontId="3" numFmtId="0" xfId="0" applyBorder="1" applyFont="1"/>
    <xf borderId="0" fillId="0" fontId="3" numFmtId="0" xfId="0" applyAlignment="1" applyFont="1">
      <alignment horizontal="left"/>
    </xf>
    <xf borderId="1" fillId="3" fontId="7" numFmtId="0" xfId="0" applyBorder="1" applyFont="1"/>
    <xf borderId="1" fillId="3" fontId="7" numFmtId="0" xfId="0" applyAlignment="1" applyBorder="1" applyFont="1">
      <alignment horizontal="left"/>
    </xf>
    <xf borderId="1" fillId="4" fontId="3" numFmtId="0" xfId="0" applyBorder="1" applyFill="1" applyFont="1"/>
    <xf borderId="1" fillId="5" fontId="3" numFmtId="0" xfId="0" applyBorder="1" applyFill="1" applyFont="1"/>
    <xf borderId="1" fillId="5" fontId="3" numFmtId="3" xfId="0" applyBorder="1" applyFont="1" applyNumberFormat="1"/>
    <xf borderId="1" fillId="5" fontId="3" numFmtId="4" xfId="0" applyBorder="1" applyFont="1" applyNumberFormat="1"/>
    <xf borderId="2" fillId="0" fontId="8" numFmtId="0" xfId="0" applyAlignment="1" applyBorder="1" applyFont="1">
      <alignment horizontal="center"/>
    </xf>
    <xf borderId="3" fillId="0" fontId="9" numFmtId="0" xfId="0" applyBorder="1" applyFont="1"/>
    <xf borderId="4" fillId="0" fontId="9" numFmtId="0" xfId="0" applyBorder="1" applyFont="1"/>
    <xf borderId="5" fillId="0" fontId="3" numFmtId="0" xfId="0" applyBorder="1" applyFont="1"/>
    <xf borderId="6" fillId="6" fontId="4" numFmtId="0" xfId="0" applyAlignment="1" applyBorder="1" applyFill="1" applyFont="1">
      <alignment horizontal="center"/>
    </xf>
    <xf borderId="7" fillId="6" fontId="4" numFmtId="0" xfId="0" applyAlignment="1" applyBorder="1" applyFont="1">
      <alignment horizontal="center"/>
    </xf>
    <xf borderId="5" fillId="0" fontId="4" numFmtId="0" xfId="0" applyAlignment="1" applyBorder="1" applyFont="1">
      <alignment horizontal="center"/>
    </xf>
    <xf borderId="6" fillId="0" fontId="3" numFmtId="10" xfId="0" applyAlignment="1" applyBorder="1" applyFont="1" applyNumberFormat="1">
      <alignment horizontal="center"/>
    </xf>
    <xf borderId="7" fillId="0" fontId="3" numFmtId="10" xfId="0" applyAlignment="1" applyBorder="1" applyFont="1" applyNumberFormat="1">
      <alignment horizontal="center"/>
    </xf>
    <xf borderId="6" fillId="0" fontId="3" numFmtId="2" xfId="0" applyAlignment="1" applyBorder="1" applyFont="1" applyNumberFormat="1">
      <alignment horizontal="center"/>
    </xf>
    <xf borderId="6" fillId="0" fontId="3" numFmtId="166" xfId="0" applyAlignment="1" applyBorder="1" applyFont="1" applyNumberFormat="1">
      <alignment horizontal="center"/>
    </xf>
    <xf borderId="7" fillId="0" fontId="3" numFmtId="166" xfId="0" applyAlignment="1" applyBorder="1" applyFont="1" applyNumberFormat="1">
      <alignment horizontal="center"/>
    </xf>
    <xf borderId="5" fillId="0" fontId="3" numFmtId="0" xfId="0" applyAlignment="1" applyBorder="1" applyFont="1">
      <alignment horizontal="center"/>
    </xf>
    <xf borderId="6" fillId="0" fontId="3" numFmtId="3" xfId="0" applyAlignment="1" applyBorder="1" applyFont="1" applyNumberFormat="1">
      <alignment horizontal="center"/>
    </xf>
    <xf borderId="7" fillId="0" fontId="3" numFmtId="3" xfId="0" applyAlignment="1" applyBorder="1" applyFont="1" applyNumberFormat="1">
      <alignment horizontal="center"/>
    </xf>
    <xf borderId="7" fillId="0" fontId="3" numFmtId="2" xfId="0" applyAlignment="1" applyBorder="1" applyFont="1" applyNumberFormat="1">
      <alignment horizontal="center"/>
    </xf>
    <xf borderId="6" fillId="0" fontId="3" numFmtId="10" xfId="0" applyAlignment="1" applyBorder="1" applyFont="1" applyNumberFormat="1">
      <alignment horizontal="center"/>
    </xf>
    <xf borderId="8" fillId="0" fontId="10" numFmtId="0" xfId="0" applyAlignment="1" applyBorder="1" applyFont="1">
      <alignment horizontal="center"/>
    </xf>
    <xf borderId="9" fillId="0" fontId="9" numFmtId="0" xfId="0" applyBorder="1" applyFont="1"/>
    <xf borderId="10" fillId="0" fontId="9" numFmtId="0" xfId="0" applyBorder="1" applyFont="1"/>
    <xf borderId="5" fillId="0" fontId="10" numFmtId="0" xfId="0" applyAlignment="1" applyBorder="1" applyFont="1">
      <alignment horizontal="center"/>
    </xf>
    <xf borderId="5" fillId="0" fontId="11" numFmtId="0" xfId="0" applyAlignment="1" applyBorder="1" applyFont="1">
      <alignment horizontal="center"/>
    </xf>
    <xf borderId="6" fillId="0" fontId="12" numFmtId="10" xfId="0" applyAlignment="1" applyBorder="1" applyFont="1" applyNumberFormat="1">
      <alignment horizontal="center"/>
    </xf>
    <xf borderId="7" fillId="0" fontId="12" numFmtId="10" xfId="0" applyAlignment="1" applyBorder="1" applyFont="1" applyNumberFormat="1">
      <alignment horizontal="center"/>
    </xf>
    <xf borderId="8" fillId="0" fontId="0" numFmtId="0" xfId="0" applyAlignment="1" applyBorder="1" applyFont="1">
      <alignment horizontal="center"/>
    </xf>
    <xf borderId="5" fillId="0" fontId="11" numFmtId="2" xfId="0" applyAlignment="1" applyBorder="1" applyFont="1" applyNumberFormat="1">
      <alignment horizontal="center"/>
    </xf>
    <xf borderId="6" fillId="0" fontId="12" numFmtId="2" xfId="0" applyAlignment="1" applyBorder="1" applyFont="1" applyNumberFormat="1">
      <alignment horizontal="center"/>
    </xf>
    <xf borderId="0" fillId="0" fontId="0" numFmtId="2" xfId="0" applyFont="1" applyNumberFormat="1"/>
    <xf borderId="6" fillId="0" fontId="12" numFmtId="167" xfId="0" applyAlignment="1" applyBorder="1" applyFont="1" applyNumberFormat="1">
      <alignment horizontal="center"/>
    </xf>
    <xf borderId="7" fillId="0" fontId="12" numFmtId="167" xfId="0" applyAlignment="1" applyBorder="1" applyFont="1" applyNumberFormat="1">
      <alignment horizontal="center"/>
    </xf>
    <xf borderId="5" fillId="0" fontId="11" numFmtId="10" xfId="0" applyAlignment="1" applyBorder="1" applyFont="1" applyNumberFormat="1">
      <alignment horizontal="center"/>
    </xf>
    <xf borderId="11" fillId="0" fontId="0" numFmtId="0" xfId="0" applyAlignment="1" applyBorder="1" applyFont="1">
      <alignment horizontal="center"/>
    </xf>
    <xf borderId="12" fillId="0" fontId="9" numFmtId="0" xfId="0" applyBorder="1" applyFont="1"/>
    <xf borderId="13" fillId="0" fontId="9" numFmtId="0" xfId="0" applyBorder="1" applyFont="1"/>
    <xf borderId="6" fillId="0" fontId="11" numFmtId="0" xfId="0" applyBorder="1" applyFont="1"/>
    <xf borderId="6" fillId="6" fontId="11" numFmtId="0" xfId="0" applyBorder="1" applyFont="1"/>
    <xf borderId="0" fillId="0" fontId="12" numFmtId="0" xfId="0" applyFont="1"/>
    <xf borderId="6" fillId="0" fontId="12" numFmtId="10" xfId="0" applyBorder="1" applyFont="1" applyNumberFormat="1"/>
    <xf borderId="6" fillId="0" fontId="12" numFmtId="0" xfId="0" applyBorder="1" applyFont="1"/>
    <xf borderId="6" fillId="0" fontId="12" numFmtId="1" xfId="0" applyBorder="1" applyFont="1" applyNumberFormat="1"/>
    <xf borderId="6" fillId="0" fontId="12" numFmtId="9" xfId="0" applyBorder="1" applyFont="1" applyNumberFormat="1"/>
    <xf borderId="0" fillId="0" fontId="11" numFmtId="0" xfId="0" applyFont="1"/>
    <xf borderId="0" fillId="0" fontId="12" numFmtId="10" xfId="0" applyFont="1" applyNumberFormat="1"/>
    <xf borderId="6" fillId="0" fontId="11" numFmtId="168" xfId="0" applyBorder="1" applyFont="1" applyNumberFormat="1"/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57"/>
    <col customWidth="1" min="2" max="2" width="14.0"/>
    <col customWidth="1" min="3" max="3" width="12.29"/>
    <col customWidth="1" min="4" max="4" width="14.0"/>
    <col customWidth="1" min="5" max="6" width="12.29"/>
    <col customWidth="1" min="7" max="13" width="8.71"/>
    <col customWidth="1" min="14" max="14" width="11.0"/>
  </cols>
  <sheetData>
    <row r="1">
      <c r="A1" s="1" t="s">
        <v>0</v>
      </c>
      <c r="B1" s="1">
        <v>2021.0</v>
      </c>
      <c r="C1" s="1">
        <v>2020.0</v>
      </c>
      <c r="D1" s="1">
        <v>2019.0</v>
      </c>
      <c r="E1" s="1">
        <v>2018.0</v>
      </c>
      <c r="F1" s="1">
        <v>2017.0</v>
      </c>
    </row>
    <row r="2">
      <c r="A2" s="1"/>
    </row>
    <row r="3">
      <c r="A3" s="1" t="s">
        <v>1</v>
      </c>
    </row>
    <row r="4">
      <c r="A4" s="1" t="s">
        <v>2</v>
      </c>
      <c r="B4" s="2">
        <v>8.9432245E7</v>
      </c>
      <c r="C4" s="2">
        <v>7.3651718E7</v>
      </c>
      <c r="D4" s="2">
        <v>6.303929E7</v>
      </c>
      <c r="E4" s="2">
        <v>4.9187645E7</v>
      </c>
      <c r="F4" s="2">
        <v>4.4239325E7</v>
      </c>
    </row>
    <row r="5">
      <c r="A5" s="1" t="s">
        <v>3</v>
      </c>
      <c r="B5" s="3">
        <v>3556215.0</v>
      </c>
      <c r="C5" s="3">
        <v>8196147.0</v>
      </c>
      <c r="D5" s="3">
        <v>7886702.0</v>
      </c>
      <c r="E5" s="3">
        <v>4093402.0</v>
      </c>
      <c r="F5" s="3">
        <v>3193835.0</v>
      </c>
    </row>
    <row r="6">
      <c r="A6" s="1" t="s">
        <v>4</v>
      </c>
      <c r="B6" s="4" t="s">
        <v>5</v>
      </c>
      <c r="C6" s="4" t="s">
        <v>5</v>
      </c>
      <c r="D6" s="2">
        <v>2.0405972E7</v>
      </c>
      <c r="E6" s="4" t="s">
        <v>5</v>
      </c>
      <c r="F6" s="2">
        <v>2250000.0</v>
      </c>
    </row>
    <row r="7">
      <c r="A7" s="1" t="s">
        <v>6</v>
      </c>
      <c r="B7" s="2">
        <v>6.16231172E8</v>
      </c>
      <c r="C7" s="2">
        <v>4.49611987E8</v>
      </c>
      <c r="D7" s="2">
        <v>3.05435633E8</v>
      </c>
      <c r="E7" s="3">
        <v>2.60233987E8</v>
      </c>
      <c r="F7" s="2">
        <v>3.14956748E8</v>
      </c>
    </row>
    <row r="8">
      <c r="A8" s="1" t="s">
        <v>7</v>
      </c>
      <c r="B8" s="2">
        <v>4.77673022E8</v>
      </c>
      <c r="C8" s="2">
        <v>3.95416055E8</v>
      </c>
      <c r="D8" s="2">
        <v>3.72913863E8</v>
      </c>
      <c r="E8" s="2">
        <v>3.43107147E8</v>
      </c>
      <c r="F8" s="2">
        <v>2.58693086E8</v>
      </c>
    </row>
    <row r="9">
      <c r="A9" s="1" t="s">
        <v>8</v>
      </c>
      <c r="B9" s="2">
        <v>2.0179222E7</v>
      </c>
      <c r="C9" s="2">
        <v>2.123275E7</v>
      </c>
      <c r="D9" s="2">
        <v>1.9696568E7</v>
      </c>
      <c r="E9" s="2">
        <v>1.2791827E7</v>
      </c>
      <c r="F9" s="2">
        <v>9885958.0</v>
      </c>
    </row>
    <row r="10">
      <c r="A10" s="1" t="s">
        <v>9</v>
      </c>
      <c r="B10" s="2">
        <v>1188985.0</v>
      </c>
      <c r="C10" s="2">
        <v>1158857.0</v>
      </c>
      <c r="D10" s="2">
        <v>808994.0</v>
      </c>
      <c r="E10" s="2">
        <v>741361.0</v>
      </c>
      <c r="F10" s="2">
        <v>842869.0</v>
      </c>
    </row>
    <row r="11">
      <c r="A11" s="1" t="s">
        <v>10</v>
      </c>
      <c r="B11" s="3">
        <v>5161697.0</v>
      </c>
      <c r="C11" s="3">
        <v>1597334.0</v>
      </c>
      <c r="D11" s="2">
        <v>2489752.0</v>
      </c>
      <c r="E11" s="2">
        <v>3773779.0</v>
      </c>
      <c r="F11" s="5">
        <v>100755.0</v>
      </c>
    </row>
    <row r="12">
      <c r="A12" s="1" t="s">
        <v>11</v>
      </c>
      <c r="B12" s="2">
        <v>4.5906052E7</v>
      </c>
      <c r="C12" s="2">
        <v>4.2021813E7</v>
      </c>
      <c r="D12" s="2">
        <v>4.0450512E7</v>
      </c>
      <c r="E12" s="2">
        <v>3.2522174E7</v>
      </c>
      <c r="F12" s="2">
        <v>2.8448099E7</v>
      </c>
    </row>
    <row r="13">
      <c r="A13" s="1"/>
      <c r="D13" s="2">
        <v>8.33208006E8</v>
      </c>
      <c r="E13" s="2">
        <v>7.06451322E8</v>
      </c>
      <c r="F13" s="2">
        <v>6.62610675E8</v>
      </c>
    </row>
    <row r="14">
      <c r="A14" s="1" t="s">
        <v>12</v>
      </c>
      <c r="D14" s="4">
        <v>315741.0</v>
      </c>
      <c r="E14" s="2">
        <v>214757.0</v>
      </c>
      <c r="F14" s="2">
        <v>327949.0</v>
      </c>
    </row>
    <row r="15">
      <c r="A15" s="1"/>
    </row>
    <row r="16">
      <c r="A16" s="1"/>
    </row>
    <row r="17">
      <c r="A17" s="1" t="s">
        <v>13</v>
      </c>
      <c r="B17" s="2">
        <v>1.25932861E9</v>
      </c>
      <c r="C17" s="2">
        <v>9.92886661E8</v>
      </c>
      <c r="D17" s="2">
        <v>8.33443027E8</v>
      </c>
      <c r="E17" s="2">
        <v>7.06666079E8</v>
      </c>
      <c r="F17" s="2">
        <v>6.62938624E8</v>
      </c>
    </row>
    <row r="18">
      <c r="A18" s="1" t="s">
        <v>14</v>
      </c>
    </row>
    <row r="19">
      <c r="A19" s="1" t="s">
        <v>15</v>
      </c>
      <c r="B19" s="2">
        <v>1.0235374E7</v>
      </c>
      <c r="C19" s="2">
        <v>1.2629996E7</v>
      </c>
      <c r="D19" s="3">
        <v>1.5768947E7</v>
      </c>
      <c r="E19" s="3">
        <v>1.551288E7</v>
      </c>
      <c r="F19" s="3">
        <v>1.0769262E7</v>
      </c>
    </row>
    <row r="20">
      <c r="A20" s="1" t="s">
        <v>16</v>
      </c>
      <c r="B20" s="2">
        <v>1.23563761E8</v>
      </c>
      <c r="C20" s="2">
        <v>8.4163669E7</v>
      </c>
      <c r="D20" s="2">
        <v>5.1187681E7</v>
      </c>
      <c r="E20" s="2">
        <v>5.2702323E7</v>
      </c>
      <c r="F20" s="2">
        <v>7.1587311E7</v>
      </c>
    </row>
    <row r="21" ht="15.75" customHeight="1">
      <c r="A21" s="1" t="s">
        <v>17</v>
      </c>
      <c r="B21" s="2">
        <v>1.015162254E9</v>
      </c>
      <c r="C21" s="2">
        <v>7.90982287E8</v>
      </c>
      <c r="D21" s="2">
        <v>6.79246312E8</v>
      </c>
      <c r="E21" s="2">
        <v>5.73596926E8</v>
      </c>
      <c r="F21" s="2">
        <v>5.25805051E8</v>
      </c>
    </row>
    <row r="22" ht="15.75" customHeight="1">
      <c r="A22" s="1" t="s">
        <v>18</v>
      </c>
      <c r="B22" s="4" t="s">
        <v>5</v>
      </c>
      <c r="C22" s="4" t="s">
        <v>5</v>
      </c>
      <c r="D22" s="4" t="s">
        <v>5</v>
      </c>
      <c r="E22" s="4" t="s">
        <v>5</v>
      </c>
      <c r="F22" s="4" t="s">
        <v>5</v>
      </c>
    </row>
    <row r="23" ht="15.75" customHeight="1">
      <c r="A23" s="1" t="s">
        <v>19</v>
      </c>
      <c r="B23" s="2">
        <v>1.2E7</v>
      </c>
      <c r="C23" s="2">
        <v>1.2E7</v>
      </c>
      <c r="D23" s="2">
        <v>9992000.0</v>
      </c>
      <c r="E23" s="3">
        <v>9993600.0</v>
      </c>
      <c r="F23" s="3">
        <v>4992800.0</v>
      </c>
    </row>
    <row r="24" ht="15.75" customHeight="1">
      <c r="A24" s="1" t="s">
        <v>20</v>
      </c>
      <c r="B24" s="4" t="s">
        <v>5</v>
      </c>
      <c r="C24" s="4" t="s">
        <v>5</v>
      </c>
      <c r="D24" s="4" t="s">
        <v>5</v>
      </c>
      <c r="E24" s="4" t="s">
        <v>5</v>
      </c>
      <c r="F24" s="4" t="s">
        <v>5</v>
      </c>
    </row>
    <row r="25" ht="15.75" customHeight="1">
      <c r="A25" s="1" t="s">
        <v>21</v>
      </c>
      <c r="B25" s="2">
        <v>4.2326358E7</v>
      </c>
      <c r="C25" s="2">
        <v>3.8429434E7</v>
      </c>
      <c r="D25" s="3">
        <v>3.4704048E7</v>
      </c>
      <c r="E25" s="3">
        <v>2.1178476E7</v>
      </c>
      <c r="F25" s="2">
        <v>1.7098223E7</v>
      </c>
    </row>
    <row r="26" ht="15.75" customHeight="1">
      <c r="A26" s="1" t="s">
        <v>22</v>
      </c>
      <c r="B26" s="2">
        <v>1.203287747E9</v>
      </c>
      <c r="C26" s="2">
        <v>9.38205386E8</v>
      </c>
      <c r="D26" s="2" t="str">
        <f>SUM(D19:D25)</f>
        <v>790,898,988</v>
      </c>
      <c r="E26" s="2">
        <v>6.72984205E8</v>
      </c>
      <c r="F26" s="2">
        <v>6.30252647E8</v>
      </c>
    </row>
    <row r="27" ht="15.75" customHeight="1">
      <c r="A27" s="1" t="s">
        <v>23</v>
      </c>
      <c r="B27" s="4" t="s">
        <v>5</v>
      </c>
      <c r="C27" s="4" t="s">
        <v>5</v>
      </c>
      <c r="D27" s="4">
        <v>141856.0</v>
      </c>
      <c r="E27" s="3">
        <v>81513.0</v>
      </c>
      <c r="F27" s="3">
        <v>140741.0</v>
      </c>
    </row>
    <row r="28" ht="15.75" customHeight="1">
      <c r="A28" s="1"/>
      <c r="D28" s="2" t="str">
        <f>SUM(D26:D27)</f>
        <v>791,040,844</v>
      </c>
      <c r="E28" s="3">
        <v>6.73065718E8</v>
      </c>
      <c r="F28" s="3">
        <v>6.30393388E8</v>
      </c>
      <c r="N28" s="2"/>
    </row>
    <row r="29" ht="15.75" customHeight="1">
      <c r="A29" s="1" t="s">
        <v>24</v>
      </c>
      <c r="B29" s="2">
        <v>5.6040863E7</v>
      </c>
      <c r="C29" s="2">
        <v>5.4681275E7</v>
      </c>
      <c r="D29" s="2">
        <v>4.2402183E7</v>
      </c>
      <c r="E29" s="2">
        <v>3.3600361E7</v>
      </c>
      <c r="F29" s="2">
        <v>3.2545236E7</v>
      </c>
    </row>
    <row r="30" ht="15.75" customHeight="1">
      <c r="A30" s="1" t="s">
        <v>25</v>
      </c>
    </row>
    <row r="31" ht="15.75" customHeight="1">
      <c r="A31" s="1" t="s">
        <v>26</v>
      </c>
      <c r="B31" s="2">
        <v>1.2602602E7</v>
      </c>
      <c r="C31" s="2">
        <v>1.2602602E7</v>
      </c>
      <c r="D31" s="2">
        <v>1.2602602E7</v>
      </c>
      <c r="E31" s="2">
        <v>1.2602602E7</v>
      </c>
      <c r="F31" s="2">
        <v>1.2602602E7</v>
      </c>
    </row>
    <row r="32" ht="15.75" customHeight="1">
      <c r="A32" s="1" t="s">
        <v>27</v>
      </c>
      <c r="B32" s="2">
        <v>3.2832051E7</v>
      </c>
      <c r="C32" s="2">
        <v>2.5701665E7</v>
      </c>
      <c r="D32" s="2">
        <v>1.9408889E7</v>
      </c>
      <c r="E32" s="2">
        <v>1.5588694E7</v>
      </c>
      <c r="F32" s="2">
        <v>1.2032263E7</v>
      </c>
    </row>
    <row r="33" ht="15.75" customHeight="1">
      <c r="A33" s="1" t="s">
        <v>28</v>
      </c>
      <c r="B33" s="2">
        <v>1987976.0</v>
      </c>
      <c r="C33" s="2">
        <v>7670955.0</v>
      </c>
    </row>
    <row r="34" ht="15.75" customHeight="1">
      <c r="A34" s="1" t="s">
        <v>29</v>
      </c>
      <c r="B34" s="2">
        <v>8618234.0</v>
      </c>
      <c r="C34" s="2">
        <v>8706053.0</v>
      </c>
      <c r="D34" s="2">
        <v>4300426.0</v>
      </c>
      <c r="E34" s="3">
        <v>1649197.0</v>
      </c>
      <c r="F34" s="3">
        <v>5142254.0</v>
      </c>
    </row>
    <row r="35" ht="15.75" customHeight="1">
      <c r="A35" s="1" t="s">
        <v>30</v>
      </c>
      <c r="D35" s="2">
        <v>39467.0</v>
      </c>
      <c r="E35" s="3">
        <v>5723.0</v>
      </c>
      <c r="F35" s="3">
        <v>19877.0</v>
      </c>
    </row>
    <row r="36" ht="15.75" customHeight="1">
      <c r="A36" s="1" t="s">
        <v>31</v>
      </c>
      <c r="D36" s="2">
        <v>6002253.0</v>
      </c>
      <c r="E36" s="2">
        <v>3710867.0</v>
      </c>
      <c r="F36" s="2">
        <v>2703887.0</v>
      </c>
    </row>
    <row r="37" ht="15.75" customHeight="1">
      <c r="A37" s="1"/>
      <c r="D37" s="2">
        <v>4.2353637E7</v>
      </c>
      <c r="E37" s="2">
        <v>3.3557083E7</v>
      </c>
      <c r="F37" s="2">
        <v>3.2500883E7</v>
      </c>
    </row>
    <row r="38" ht="15.75" customHeight="1">
      <c r="A38" s="1"/>
    </row>
    <row r="39" ht="15.75" customHeight="1">
      <c r="A39" s="1" t="s">
        <v>32</v>
      </c>
      <c r="B39" s="4" t="s">
        <v>5</v>
      </c>
      <c r="C39" s="4" t="s">
        <v>5</v>
      </c>
      <c r="D39" s="2">
        <v>48546.0</v>
      </c>
      <c r="E39" s="2">
        <v>43278.0</v>
      </c>
      <c r="F39" s="2">
        <v>44353.0</v>
      </c>
    </row>
    <row r="40" ht="15.75" customHeight="1">
      <c r="E40" s="2"/>
    </row>
    <row r="41" ht="15.75" customHeight="1">
      <c r="B41" s="2">
        <v>5.6040863E7</v>
      </c>
      <c r="C41" s="2">
        <v>5.4681275E7</v>
      </c>
      <c r="D41" s="2" t="str">
        <f>SUM(D37:D39)</f>
        <v>42,402,183</v>
      </c>
      <c r="E41" s="2">
        <v>3.3600361E7</v>
      </c>
      <c r="F41" s="2">
        <v>3.2545236E7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29"/>
    <col customWidth="1" min="2" max="3" width="12.29"/>
    <col customWidth="1" min="4" max="4" width="12.71"/>
    <col customWidth="1" min="5" max="6" width="11.14"/>
    <col customWidth="1" min="7" max="16" width="8.71"/>
  </cols>
  <sheetData>
    <row r="1">
      <c r="A1" s="1" t="s">
        <v>0</v>
      </c>
      <c r="B1" s="1">
        <v>2021.0</v>
      </c>
      <c r="C1" s="1">
        <v>2020.0</v>
      </c>
      <c r="D1" s="1">
        <v>2019.0</v>
      </c>
      <c r="E1" s="1">
        <v>2018.0</v>
      </c>
      <c r="F1" s="1">
        <v>2017.0</v>
      </c>
    </row>
    <row r="2">
      <c r="A2" s="1"/>
    </row>
    <row r="3">
      <c r="A3" s="1" t="s">
        <v>33</v>
      </c>
      <c r="B3" s="4" t="s">
        <v>34</v>
      </c>
      <c r="C3" s="4" t="s">
        <v>35</v>
      </c>
      <c r="D3" s="6">
        <v>7.1704373E7</v>
      </c>
      <c r="E3" s="2">
        <v>4.3669883E7</v>
      </c>
      <c r="F3" s="2">
        <v>3.626722E7</v>
      </c>
    </row>
    <row r="4">
      <c r="A4" s="1" t="s">
        <v>36</v>
      </c>
      <c r="B4" s="2">
        <v>4.5139897E7</v>
      </c>
      <c r="C4" s="2">
        <v>4.8842539E7</v>
      </c>
      <c r="D4" s="3">
        <v>4.9567851E7</v>
      </c>
      <c r="E4" s="3">
        <v>2.5059925E7</v>
      </c>
      <c r="F4" s="2">
        <v>2.0071958E7</v>
      </c>
    </row>
    <row r="5">
      <c r="A5" s="1" t="s">
        <v>37</v>
      </c>
      <c r="B5" s="2">
        <v>3.2429546E7</v>
      </c>
      <c r="C5" s="2">
        <v>3.0275781E7</v>
      </c>
      <c r="D5" s="2">
        <v>2.2136522E7</v>
      </c>
      <c r="E5" s="2">
        <v>1.8609958E7</v>
      </c>
      <c r="F5" s="2">
        <v>1.6195262E7</v>
      </c>
    </row>
    <row r="6">
      <c r="A6" s="1" t="s">
        <v>38</v>
      </c>
    </row>
    <row r="7">
      <c r="A7" s="1" t="s">
        <v>39</v>
      </c>
      <c r="B7" s="2">
        <v>4785268.0</v>
      </c>
      <c r="C7" s="2">
        <v>3991285.0</v>
      </c>
      <c r="D7" s="2">
        <v>3616428.0</v>
      </c>
      <c r="E7" s="2">
        <v>3116070.0</v>
      </c>
      <c r="F7" s="2">
        <v>2706794.0</v>
      </c>
    </row>
    <row r="8">
      <c r="A8" s="1" t="s">
        <v>40</v>
      </c>
      <c r="B8" s="3">
        <v>421964.0</v>
      </c>
      <c r="C8" s="3">
        <v>273524.0</v>
      </c>
      <c r="D8" s="2">
        <v>274440.0</v>
      </c>
      <c r="E8" s="2">
        <v>231312.0</v>
      </c>
      <c r="F8" s="2">
        <v>302894.0</v>
      </c>
    </row>
    <row r="9">
      <c r="A9" s="1" t="s">
        <v>41</v>
      </c>
      <c r="B9" s="2">
        <v>3123524.0</v>
      </c>
      <c r="C9" s="2">
        <v>2673493.0</v>
      </c>
      <c r="D9" s="2">
        <v>2507707.0</v>
      </c>
      <c r="E9" s="2">
        <v>1596027.0</v>
      </c>
      <c r="F9" s="2">
        <v>843032.0</v>
      </c>
    </row>
    <row r="10">
      <c r="A10" s="1" t="s">
        <v>42</v>
      </c>
      <c r="B10" s="4" t="s">
        <v>5</v>
      </c>
      <c r="C10" s="4" t="s">
        <v>5</v>
      </c>
      <c r="D10" s="4" t="s">
        <v>5</v>
      </c>
      <c r="E10" s="4" t="s">
        <v>5</v>
      </c>
      <c r="F10" s="4" t="s">
        <v>5</v>
      </c>
    </row>
    <row r="11">
      <c r="A11" s="1" t="s">
        <v>43</v>
      </c>
      <c r="B11" s="5">
        <v>814724.0</v>
      </c>
      <c r="C11" s="5">
        <v>2555400.0</v>
      </c>
      <c r="D11" s="5">
        <v>739351.0</v>
      </c>
      <c r="E11" s="5">
        <v>260103.0</v>
      </c>
      <c r="F11" s="5">
        <v>2063043.0</v>
      </c>
    </row>
    <row r="12">
      <c r="A12" s="1" t="s">
        <v>44</v>
      </c>
      <c r="B12" s="2">
        <v>402118.0</v>
      </c>
      <c r="C12" s="2">
        <v>349438.0</v>
      </c>
      <c r="D12" s="2">
        <v>266102.0</v>
      </c>
      <c r="E12" s="2">
        <v>418081.0</v>
      </c>
      <c r="F12" s="2">
        <v>200341.0</v>
      </c>
    </row>
    <row r="13">
      <c r="A13" s="1" t="s">
        <v>45</v>
      </c>
      <c r="B13" s="2">
        <v>9547598.0</v>
      </c>
      <c r="C13" s="2">
        <v>9843140.0</v>
      </c>
      <c r="D13" s="2">
        <v>7404028.0</v>
      </c>
      <c r="E13" s="2">
        <v>5621593.0</v>
      </c>
      <c r="F13" s="2">
        <v>6116104.0</v>
      </c>
    </row>
    <row r="14">
      <c r="A14" s="1" t="s">
        <v>46</v>
      </c>
      <c r="B14" s="2">
        <v>4.1977144E7</v>
      </c>
      <c r="C14" s="2">
        <v>4.0118921E7</v>
      </c>
      <c r="D14" s="2">
        <v>2.954055E7</v>
      </c>
      <c r="E14" s="2">
        <v>2.4231551E7</v>
      </c>
      <c r="F14" s="2">
        <v>2.2311366E7</v>
      </c>
    </row>
    <row r="15">
      <c r="A15" s="1" t="s">
        <v>47</v>
      </c>
    </row>
    <row r="16">
      <c r="A16" s="1" t="s">
        <v>48</v>
      </c>
      <c r="B16" s="2">
        <v>2.1017376E7</v>
      </c>
      <c r="C16" s="2">
        <v>2.0217974E7</v>
      </c>
      <c r="D16" s="2">
        <v>1.8235061E7</v>
      </c>
      <c r="E16" s="2">
        <v>1.6240514E7</v>
      </c>
      <c r="F16" s="2">
        <v>1.4948796E7</v>
      </c>
    </row>
    <row r="17">
      <c r="A17" s="1" t="s">
        <v>49</v>
      </c>
      <c r="B17" s="2">
        <v>213484.0</v>
      </c>
      <c r="C17" s="2">
        <v>42982.0</v>
      </c>
      <c r="D17" s="2">
        <v>42117.0</v>
      </c>
      <c r="E17" s="3">
        <v>-540060.0</v>
      </c>
      <c r="F17" s="2">
        <v>169833.0</v>
      </c>
    </row>
    <row r="18">
      <c r="A18" s="1" t="s">
        <v>50</v>
      </c>
      <c r="B18" s="3">
        <v>90139.0</v>
      </c>
      <c r="C18" s="3">
        <v>48149.0</v>
      </c>
      <c r="D18" s="3">
        <v>99947.0</v>
      </c>
      <c r="E18" s="3">
        <v>191067.0</v>
      </c>
      <c r="F18" s="3">
        <v>23568.0</v>
      </c>
      <c r="P18" s="7"/>
    </row>
    <row r="19">
      <c r="B19" s="2">
        <v>2.1320999E7</v>
      </c>
      <c r="C19" s="2">
        <v>2.0309105E7</v>
      </c>
      <c r="D19" s="2">
        <v>1.8377125E7</v>
      </c>
      <c r="E19" s="2">
        <v>1.5891521E7</v>
      </c>
      <c r="F19" s="2">
        <v>1.5142197E7</v>
      </c>
      <c r="P19" s="8"/>
    </row>
    <row r="20">
      <c r="A20" s="1" t="s">
        <v>51</v>
      </c>
      <c r="B20" s="2">
        <v>2.0656145E7</v>
      </c>
      <c r="C20" s="2">
        <v>1.9809816E7</v>
      </c>
      <c r="D20" s="2">
        <v>1.1163425E7</v>
      </c>
      <c r="E20" s="2">
        <v>8340030.0</v>
      </c>
      <c r="F20" s="2">
        <v>7169169.0</v>
      </c>
    </row>
    <row r="21" ht="15.75" customHeight="1">
      <c r="A21" s="1" t="s">
        <v>52</v>
      </c>
      <c r="B21" s="2">
        <v>4983944.0</v>
      </c>
      <c r="C21" s="2">
        <v>1974747.0</v>
      </c>
      <c r="D21" s="3">
        <v>773275.0</v>
      </c>
      <c r="E21" s="3">
        <v>1460575.0</v>
      </c>
      <c r="F21" s="3">
        <v>-1176432.0</v>
      </c>
    </row>
    <row r="22" ht="15.75" customHeight="1">
      <c r="A22" s="1" t="s">
        <v>53</v>
      </c>
      <c r="B22" s="4" t="s">
        <v>5</v>
      </c>
      <c r="C22" s="4" t="s">
        <v>5</v>
      </c>
      <c r="D22" s="9" t="s">
        <v>5</v>
      </c>
      <c r="E22" s="9" t="s">
        <v>5</v>
      </c>
      <c r="F22" s="9" t="s">
        <v>5</v>
      </c>
    </row>
    <row r="23" ht="15.75" customHeight="1">
      <c r="A23" s="1" t="s">
        <v>54</v>
      </c>
      <c r="B23" s="2">
        <v>1.5672201E7</v>
      </c>
      <c r="C23" s="2">
        <v>1.7835069E7</v>
      </c>
      <c r="D23" s="2">
        <v>1.039015E7</v>
      </c>
      <c r="E23" s="2">
        <v>6879455.0</v>
      </c>
      <c r="F23" s="2">
        <v>8345601.0</v>
      </c>
    </row>
    <row r="24" ht="15.75" customHeight="1">
      <c r="A24" s="1" t="s">
        <v>55</v>
      </c>
      <c r="B24" s="2">
        <v>-5956468.0</v>
      </c>
      <c r="C24" s="2">
        <v>-6978072.0</v>
      </c>
      <c r="D24" s="2">
        <v>3372249.0</v>
      </c>
      <c r="E24" s="2">
        <v>-2448177.0</v>
      </c>
      <c r="F24" s="2">
        <v>-3223915.0</v>
      </c>
    </row>
    <row r="25" ht="15.75" customHeight="1">
      <c r="A25" s="1" t="s">
        <v>56</v>
      </c>
      <c r="B25" s="2">
        <v>9715733.0</v>
      </c>
      <c r="C25" s="2">
        <v>1.0856997E7</v>
      </c>
      <c r="D25" s="2">
        <v>7017901.0</v>
      </c>
      <c r="E25" s="2">
        <v>4431278.0</v>
      </c>
      <c r="F25" s="2">
        <v>5121686.0</v>
      </c>
    </row>
    <row r="26" ht="15.75" customHeight="1">
      <c r="A26" s="1" t="s">
        <v>57</v>
      </c>
      <c r="D26" s="4">
        <v>14669.0</v>
      </c>
      <c r="E26" s="3">
        <v>-2659.0</v>
      </c>
      <c r="F26" s="3">
        <v>6611.0</v>
      </c>
    </row>
    <row r="27" ht="15.75" customHeight="1">
      <c r="A27" s="1" t="s">
        <v>58</v>
      </c>
    </row>
    <row r="28" ht="15.75" customHeight="1">
      <c r="A28" s="1" t="s">
        <v>59</v>
      </c>
      <c r="B28" s="2">
        <v>9715733.0</v>
      </c>
      <c r="C28" s="2">
        <v>1.0846333E7</v>
      </c>
      <c r="D28" s="2">
        <v>7028756.0</v>
      </c>
      <c r="E28" s="2">
        <v>4429310.0</v>
      </c>
      <c r="F28" s="2">
        <v>5121863.0</v>
      </c>
    </row>
    <row r="29" ht="15.75" customHeight="1">
      <c r="A29" s="1" t="s">
        <v>32</v>
      </c>
      <c r="B29" s="4" t="s">
        <v>5</v>
      </c>
      <c r="C29" s="3">
        <v>10664.0</v>
      </c>
      <c r="D29" s="3">
        <v>3814.0</v>
      </c>
      <c r="E29" s="9">
        <v>-691.0</v>
      </c>
      <c r="F29" s="3">
        <v>6434.0</v>
      </c>
    </row>
    <row r="30" ht="15.75" customHeight="1">
      <c r="A30" s="1"/>
      <c r="B30" s="2">
        <v>9715733.0</v>
      </c>
      <c r="C30" s="2">
        <v>1.0856997E7</v>
      </c>
      <c r="D30" s="3" t="str">
        <f>SUM(D28:D29)</f>
        <v>7,032,570</v>
      </c>
      <c r="E30" s="3">
        <v>4428619.0</v>
      </c>
      <c r="F30" s="2">
        <v>5128297.0</v>
      </c>
    </row>
    <row r="31" ht="15.75" customHeight="1">
      <c r="A31" s="1"/>
    </row>
    <row r="32" ht="15.75" customHeight="1">
      <c r="A32" s="1" t="s">
        <v>60</v>
      </c>
      <c r="B32" s="4">
        <v>7.71</v>
      </c>
      <c r="C32" s="9">
        <v>8.61</v>
      </c>
      <c r="D32" s="9">
        <v>5.58</v>
      </c>
      <c r="E32" s="4">
        <v>3.51</v>
      </c>
      <c r="F32" s="4">
        <v>4.06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84.29"/>
    <col customWidth="1" min="2" max="6" width="32.71"/>
    <col customWidth="1" min="7" max="7" width="13.29"/>
    <col customWidth="1" min="8" max="17" width="14.43"/>
    <col customWidth="1" min="18" max="18" width="55.0"/>
    <col customWidth="1" min="19" max="19" width="4.86"/>
    <col customWidth="1" min="20" max="20" width="255.71"/>
    <col customWidth="1" min="21" max="23" width="14.43"/>
    <col customWidth="1" min="24" max="27" width="21.0"/>
    <col customWidth="1" min="28" max="28" width="22.0"/>
  </cols>
  <sheetData>
    <row r="1" hidden="1">
      <c r="A1" s="10"/>
      <c r="B1" s="11">
        <v>2021.0</v>
      </c>
      <c r="C1" s="11">
        <v>2020.0</v>
      </c>
      <c r="D1" s="11">
        <v>2019.0</v>
      </c>
      <c r="E1" s="11">
        <v>2018.0</v>
      </c>
      <c r="F1" s="11">
        <v>2017.0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ht="15.0" hidden="1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ht="15.0" hidden="1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ht="15.0" hidden="1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ht="15.0" hidden="1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ht="15.0" hidden="1" customHeight="1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ht="15.0" hidden="1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ht="15.0" hidden="1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ht="15.0" hidden="1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 ht="15.0" hidden="1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ht="15.0" hidden="1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hidden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hidden="1">
      <c r="A13" s="10" t="s">
        <v>61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hidden="1">
      <c r="A14" s="10" t="s">
        <v>62</v>
      </c>
      <c r="B14" s="12">
        <v>4.77673022E8</v>
      </c>
      <c r="C14" s="12">
        <v>3.95416055E8</v>
      </c>
      <c r="D14" s="12">
        <v>3.72913863E8</v>
      </c>
      <c r="E14" s="13">
        <v>3.43107147E8</v>
      </c>
      <c r="F14" s="12">
        <v>2.58693086E8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hidden="1">
      <c r="A15" s="10" t="s">
        <v>6</v>
      </c>
      <c r="B15" s="12">
        <v>6.16231172E8</v>
      </c>
      <c r="C15" s="12">
        <v>4.49611987E8</v>
      </c>
      <c r="D15" s="12">
        <v>3.05435633E8</v>
      </c>
      <c r="E15" s="12">
        <v>2.60233987E8</v>
      </c>
      <c r="F15" s="12">
        <v>3.14956748E8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hidden="1">
      <c r="A16" s="10" t="s">
        <v>63</v>
      </c>
      <c r="B16" s="10">
        <v>0.0</v>
      </c>
      <c r="C16" s="10">
        <v>0.0</v>
      </c>
      <c r="D16" s="12">
        <v>2.0405972E7</v>
      </c>
      <c r="E16" s="10">
        <v>0.0</v>
      </c>
      <c r="F16" s="12">
        <v>2250000.0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hidden="1">
      <c r="A17" s="10" t="s">
        <v>64</v>
      </c>
      <c r="B17" s="12">
        <v>3556215.0</v>
      </c>
      <c r="C17" s="14">
        <v>8196147.0</v>
      </c>
      <c r="D17" s="12">
        <v>7886702.0</v>
      </c>
      <c r="E17" s="13">
        <v>4093402.0</v>
      </c>
      <c r="F17" s="12">
        <v>3193835.0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hidden="1">
      <c r="A18" s="15" t="s">
        <v>65</v>
      </c>
      <c r="B18" s="12" t="str">
        <f t="shared" ref="B18:F18" si="1">SUM(B14:B17)</f>
        <v>1,097,460,409</v>
      </c>
      <c r="C18" s="12" t="str">
        <f t="shared" si="1"/>
        <v>853,224,189</v>
      </c>
      <c r="D18" s="12" t="str">
        <f t="shared" si="1"/>
        <v>706,642,170</v>
      </c>
      <c r="E18" s="12" t="str">
        <f t="shared" si="1"/>
        <v>607,434,536</v>
      </c>
      <c r="F18" s="12" t="str">
        <f t="shared" si="1"/>
        <v>579,093,669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ht="15.0" hidden="1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hidden="1">
      <c r="A20" s="10" t="s">
        <v>66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ht="15.75" hidden="1" customHeight="1">
      <c r="A21" s="10" t="s">
        <v>67</v>
      </c>
      <c r="B21" s="12">
        <v>2.22888771E8</v>
      </c>
      <c r="C21" s="12">
        <v>5.39726821E8</v>
      </c>
      <c r="D21" s="12">
        <v>4.84456138E8</v>
      </c>
      <c r="E21" s="12">
        <v>4.04040078E8</v>
      </c>
      <c r="F21" s="12">
        <v>3.81975947E8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ht="15.75" hidden="1" customHeight="1">
      <c r="A22" s="10" t="s">
        <v>68</v>
      </c>
      <c r="B22" s="12">
        <v>7.90982287E8</v>
      </c>
      <c r="C22" s="12">
        <v>1030588.0</v>
      </c>
      <c r="D22" s="12">
        <v>1.94254257E8</v>
      </c>
      <c r="E22" s="12">
        <v>1.68745407E8</v>
      </c>
      <c r="F22" s="12">
        <v>1.43678468E8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ht="15.75" hidden="1" customHeight="1">
      <c r="A23" s="10" t="s">
        <v>68</v>
      </c>
      <c r="B23" s="12">
        <v>1291196.0</v>
      </c>
      <c r="C23" s="12">
        <v>2.50224878E8</v>
      </c>
      <c r="D23" s="12">
        <v>535917.0</v>
      </c>
      <c r="E23" s="12">
        <v>811441.0</v>
      </c>
      <c r="F23" s="12">
        <v>150636.0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ht="15.75" hidden="1" customHeight="1">
      <c r="A24" s="10" t="s">
        <v>16</v>
      </c>
      <c r="B24" s="12">
        <v>1.23563761E8</v>
      </c>
      <c r="C24" s="13">
        <v>8.4163669E7</v>
      </c>
      <c r="D24" s="12">
        <v>5.1187681E7</v>
      </c>
      <c r="E24" s="13">
        <v>5.2702323E7</v>
      </c>
      <c r="F24" s="12">
        <v>7.1587311E7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ht="15.75" hidden="1" customHeight="1">
      <c r="A25" s="10" t="s">
        <v>69</v>
      </c>
      <c r="B25" s="12">
        <v>1.2E7</v>
      </c>
      <c r="C25" s="13">
        <v>1.2E7</v>
      </c>
      <c r="D25" s="12">
        <v>9992000.0</v>
      </c>
      <c r="E25" s="12">
        <v>9993600.0</v>
      </c>
      <c r="F25" s="12">
        <v>4992800.0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ht="15.75" hidden="1" customHeight="1">
      <c r="A26" s="10" t="s">
        <v>70</v>
      </c>
      <c r="B26" s="12">
        <v>7393878.0</v>
      </c>
      <c r="C26" s="13">
        <v>8223995.0</v>
      </c>
      <c r="D26" s="12">
        <v>970082.0</v>
      </c>
      <c r="E26" s="10">
        <v>0.0</v>
      </c>
      <c r="F26" s="10">
        <v>0.0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ht="15.75" hidden="1" customHeight="1">
      <c r="A27" s="16" t="s">
        <v>71</v>
      </c>
      <c r="B27" s="12" t="str">
        <f t="shared" ref="B27:F27" si="2">SUM(B21:B26)</f>
        <v>1,158,119,893</v>
      </c>
      <c r="C27" s="12" t="str">
        <f t="shared" si="2"/>
        <v>895,369,951</v>
      </c>
      <c r="D27" s="12" t="str">
        <f t="shared" si="2"/>
        <v>741,396,075</v>
      </c>
      <c r="E27" s="12" t="str">
        <f t="shared" si="2"/>
        <v>636,292,849</v>
      </c>
      <c r="F27" s="12" t="str">
        <f t="shared" si="2"/>
        <v>602,385,162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ht="27.0" hidden="1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ht="15.75" hidden="1" customHeight="1">
      <c r="A29" s="10" t="s">
        <v>72</v>
      </c>
      <c r="B29" s="12" t="str">
        <f>'Income Statement'!B25</f>
        <v>9,715,733</v>
      </c>
      <c r="C29" s="12" t="str">
        <f>'Income Statement'!C25</f>
        <v>10,856,997</v>
      </c>
      <c r="D29" s="12" t="str">
        <f>'Income Statement'!D25</f>
        <v>7,017,901</v>
      </c>
      <c r="E29" s="12" t="str">
        <f>'Income Statement'!E25</f>
        <v>4,431,278</v>
      </c>
      <c r="F29" s="12" t="str">
        <f>'Income Statement'!F25</f>
        <v>5,121,686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ht="27.0" hidden="1" customHeight="1">
      <c r="A30" s="10" t="s">
        <v>73</v>
      </c>
      <c r="B30" s="12" t="str">
        <f>'Balance Sheet'!B41</f>
        <v>56,040,863</v>
      </c>
      <c r="C30" s="12" t="str">
        <f>'Balance Sheet'!C41</f>
        <v>54,681,275</v>
      </c>
      <c r="D30" s="12" t="str">
        <f>'Balance Sheet'!D41</f>
        <v>42,402,183</v>
      </c>
      <c r="E30" s="12" t="str">
        <f>'Balance Sheet'!E41</f>
        <v>33,600,361</v>
      </c>
      <c r="F30" s="12" t="str">
        <f>'Balance Sheet'!F41</f>
        <v>32,545,236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ht="27.0" hidden="1" customHeight="1">
      <c r="A31" s="10" t="s">
        <v>13</v>
      </c>
      <c r="B31" s="12" t="str">
        <f>'Balance Sheet'!B17</f>
        <v>1,259,328,610</v>
      </c>
      <c r="C31" s="12" t="str">
        <f>'Balance Sheet'!C17</f>
        <v>992,886,661</v>
      </c>
      <c r="D31" s="12" t="str">
        <f>'Balance Sheet'!D17</f>
        <v>833,443,027</v>
      </c>
      <c r="E31" s="12" t="str">
        <f>'Balance Sheet'!E17</f>
        <v>706,666,079</v>
      </c>
      <c r="F31" s="12" t="str">
        <f>'Balance Sheet'!F17</f>
        <v>662,938,624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ht="27.0" hidden="1" customHeight="1">
      <c r="A32" s="10" t="s">
        <v>74</v>
      </c>
      <c r="B32" s="12" t="str">
        <f>'Income Statement'!B5-'Income Statement'!B19</f>
        <v>11,108,547</v>
      </c>
      <c r="C32" s="12" t="str">
        <f>'Income Statement'!C5-'Income Statement'!C19</f>
        <v>9,966,676</v>
      </c>
      <c r="D32" s="12" t="str">
        <f>'Income Statement'!D5-'Income Statement'!D19</f>
        <v>3,759,397</v>
      </c>
      <c r="E32" s="12" t="str">
        <f>'Income Statement'!E5-'Income Statement'!E19</f>
        <v>2,718,437</v>
      </c>
      <c r="F32" s="12" t="str">
        <f>'Income Statement'!F5-'Income Statement'!F19</f>
        <v>1,053,065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ht="27.0" hidden="1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ht="15.75" hidden="1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ht="15.75" hidden="1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ht="15.75" hidden="1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ht="15.75" hidden="1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ht="15.75" hidden="1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ht="15.0" hidden="1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ht="15.75" hidden="1" customHeight="1">
      <c r="A40" s="11" t="s">
        <v>75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ht="15.75" hidden="1" customHeight="1">
      <c r="A41" s="11" t="s">
        <v>46</v>
      </c>
      <c r="B41" s="12">
        <v>4.1977144E7</v>
      </c>
      <c r="C41" s="12">
        <v>4.0118921E7</v>
      </c>
      <c r="D41" s="12">
        <v>2.954055E7</v>
      </c>
      <c r="E41" s="12">
        <v>2.4231551E7</v>
      </c>
      <c r="F41" s="12">
        <v>2.2311366E7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1" t="s">
        <v>76</v>
      </c>
      <c r="S41" s="10"/>
      <c r="T41" s="10"/>
      <c r="U41" s="10"/>
      <c r="V41" s="10"/>
      <c r="W41" s="10"/>
      <c r="X41" s="10">
        <v>2021.0</v>
      </c>
      <c r="Y41" s="10">
        <v>2020.0</v>
      </c>
      <c r="Z41" s="10">
        <v>2019.0</v>
      </c>
      <c r="AA41" s="10">
        <v>2018.0</v>
      </c>
      <c r="AB41" s="10">
        <v>2017.0</v>
      </c>
    </row>
    <row r="42" ht="15.75" hidden="1" customHeight="1">
      <c r="A42" s="11" t="s">
        <v>48</v>
      </c>
      <c r="B42" s="12">
        <v>2.1017376E7</v>
      </c>
      <c r="C42" s="12">
        <v>2.0217974E7</v>
      </c>
      <c r="D42" s="12">
        <v>1.8235061E7</v>
      </c>
      <c r="E42" s="12">
        <v>1.6240514E7</v>
      </c>
      <c r="F42" s="12">
        <v>1.4948796E7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 t="s">
        <v>77</v>
      </c>
      <c r="S42" s="10">
        <v>13.0</v>
      </c>
      <c r="T42" s="17" t="s">
        <v>78</v>
      </c>
      <c r="U42" s="17"/>
      <c r="V42" s="17"/>
      <c r="W42" s="10"/>
      <c r="X42" s="10"/>
      <c r="Y42" s="10"/>
      <c r="Z42" s="10"/>
      <c r="AA42" s="10"/>
      <c r="AB42" s="10"/>
    </row>
    <row r="43" ht="15.75" hidden="1" customHeight="1">
      <c r="A43" s="11" t="s">
        <v>13</v>
      </c>
      <c r="B43" s="12">
        <v>1.25932861E9</v>
      </c>
      <c r="C43" s="12">
        <v>9.92886661E8</v>
      </c>
      <c r="D43" s="12">
        <v>8.33443027E8</v>
      </c>
      <c r="E43" s="12">
        <v>7.06666079E8</v>
      </c>
      <c r="F43" s="12">
        <v>6.62938624E8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 t="s">
        <v>79</v>
      </c>
      <c r="S43" s="10">
        <v>14.0</v>
      </c>
      <c r="T43" s="10" t="s">
        <v>80</v>
      </c>
      <c r="U43" s="10"/>
      <c r="V43" s="17"/>
      <c r="W43" s="10"/>
      <c r="X43" s="10" t="str">
        <f t="shared" ref="X43:AB43" si="3">B25/B14</f>
        <v>0.02512178718</v>
      </c>
      <c r="Y43" s="10" t="str">
        <f t="shared" si="3"/>
        <v>0.0303477814</v>
      </c>
      <c r="Z43" s="10" t="str">
        <f t="shared" si="3"/>
        <v>0.02679439139</v>
      </c>
      <c r="AA43" s="10" t="str">
        <f t="shared" si="3"/>
        <v>0.02912676138</v>
      </c>
      <c r="AB43" s="10" t="str">
        <f t="shared" si="3"/>
        <v>0.01930009061</v>
      </c>
    </row>
    <row r="44" ht="15.75" hidden="1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 t="s">
        <v>79</v>
      </c>
      <c r="S44" s="10">
        <v>15.0</v>
      </c>
      <c r="T44" s="10" t="s">
        <v>81</v>
      </c>
      <c r="U44" s="10"/>
      <c r="V44" s="17"/>
      <c r="W44" s="10"/>
      <c r="X44" s="10"/>
      <c r="Y44" s="10"/>
      <c r="Z44" s="10"/>
      <c r="AA44" s="10"/>
      <c r="AB44" s="10"/>
    </row>
    <row r="45" ht="15.75" hidden="1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 t="s">
        <v>79</v>
      </c>
      <c r="S45" s="10">
        <v>16.0</v>
      </c>
      <c r="T45" s="10" t="s">
        <v>82</v>
      </c>
      <c r="U45" s="10"/>
      <c r="V45" s="17"/>
      <c r="W45" s="10"/>
      <c r="X45" s="10"/>
      <c r="Y45" s="10"/>
      <c r="Z45" s="10"/>
      <c r="AA45" s="10"/>
      <c r="AB45" s="10"/>
    </row>
    <row r="46" ht="15.75" hidden="1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 t="s">
        <v>79</v>
      </c>
      <c r="S46" s="10">
        <v>17.0</v>
      </c>
      <c r="T46" s="10" t="s">
        <v>83</v>
      </c>
      <c r="U46" s="10"/>
      <c r="V46" s="17"/>
      <c r="W46" s="10"/>
      <c r="X46" s="10" t="str">
        <f>'Income Statement'!B21/'Balance Sheet'!B41</f>
        <v>0.0889341051</v>
      </c>
      <c r="Y46" s="10" t="str">
        <f>'Income Statement'!C21/'Balance Sheet'!C41</f>
        <v>0.03611377021</v>
      </c>
      <c r="Z46" s="10" t="str">
        <f>'Income Statement'!D21/'Balance Sheet'!D41</f>
        <v>0.01823667899</v>
      </c>
      <c r="AA46" s="10" t="str">
        <f>'Income Statement'!E21/'Balance Sheet'!E41</f>
        <v>0.04346902701</v>
      </c>
      <c r="AB46" s="10" t="str">
        <f>'Income Statement'!F21/'Balance Sheet'!F41</f>
        <v>-0.03614759469</v>
      </c>
    </row>
    <row r="47" ht="15.75" hidden="1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 t="s">
        <v>79</v>
      </c>
      <c r="S47" s="10">
        <v>18.0</v>
      </c>
      <c r="T47" s="10" t="s">
        <v>84</v>
      </c>
      <c r="U47" s="10"/>
      <c r="V47" s="17"/>
      <c r="W47" s="10"/>
      <c r="X47" s="10" t="str">
        <f>'Income Statement'!B21/B14</f>
        <v>0.01043379837</v>
      </c>
      <c r="Y47" s="10" t="str">
        <f>'Income Statement'!C21/C14</f>
        <v>0.00499409919</v>
      </c>
      <c r="Z47" s="10" t="str">
        <f>'Income Statement'!D21/D14</f>
        <v>0.002073602182</v>
      </c>
      <c r="AA47" s="10" t="str">
        <f>'Income Statement'!E21/E14</f>
        <v>0.004256906371</v>
      </c>
      <c r="AB47" s="10" t="str">
        <f>'Income Statement'!F21/F14</f>
        <v>-0.00454759738</v>
      </c>
    </row>
    <row r="48" ht="15.75" hidden="1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>
        <v>2021.0</v>
      </c>
      <c r="Y48" s="10">
        <v>2020.0</v>
      </c>
      <c r="Z48" s="10">
        <v>2019.0</v>
      </c>
      <c r="AA48" s="10">
        <v>2018.0</v>
      </c>
      <c r="AB48" s="10">
        <v>2017.0</v>
      </c>
    </row>
    <row r="49" ht="15.75" hidden="1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 t="s">
        <v>85</v>
      </c>
      <c r="U49" s="10"/>
      <c r="V49" s="10"/>
      <c r="W49" s="10"/>
      <c r="X49" s="10" t="str">
        <f>'Income Statement'!B25/'Income Statement'!B23</f>
        <v>0.6199341752</v>
      </c>
      <c r="Y49" s="10" t="str">
        <f>'Income Statement'!C25/'Income Statement'!C23</f>
        <v>0.6087443228</v>
      </c>
      <c r="Z49" s="10" t="str">
        <f>'Income Statement'!D25/'Income Statement'!D23</f>
        <v>0.6754378907</v>
      </c>
      <c r="AA49" s="10" t="str">
        <f>'Income Statement'!E25/'Income Statement'!E23</f>
        <v>0.6441321297</v>
      </c>
      <c r="AB49" s="10" t="str">
        <f>'Income Statement'!F25/'Income Statement'!F23</f>
        <v>0.6136988816</v>
      </c>
    </row>
    <row r="50" ht="15.75" hidden="1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8" t="s">
        <v>86</v>
      </c>
      <c r="U50" s="10"/>
      <c r="V50" s="10"/>
      <c r="W50" s="10"/>
      <c r="X50" s="10"/>
      <c r="Y50" s="10"/>
      <c r="Z50" s="10"/>
      <c r="AA50" s="10"/>
      <c r="AB50" s="10"/>
    </row>
    <row r="51" ht="15.75" hidden="1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9" t="s">
        <v>87</v>
      </c>
      <c r="U51" s="10"/>
      <c r="V51" s="10"/>
      <c r="W51" s="10"/>
      <c r="X51" s="10" t="str">
        <f t="shared" ref="X51:AB51" si="4">B32/B31</f>
        <v>0.00882100741</v>
      </c>
      <c r="Y51" s="10" t="str">
        <f t="shared" si="4"/>
        <v>0.01003808027</v>
      </c>
      <c r="Z51" s="10" t="str">
        <f t="shared" si="4"/>
        <v>0.004510682648</v>
      </c>
      <c r="AA51" s="10" t="str">
        <f t="shared" si="4"/>
        <v>0.00384684801</v>
      </c>
      <c r="AB51" s="10" t="str">
        <f t="shared" si="4"/>
        <v>0.001588480384</v>
      </c>
    </row>
    <row r="52" ht="15.75" hidden="1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9" t="s">
        <v>88</v>
      </c>
      <c r="U52" s="10"/>
      <c r="V52" s="10"/>
      <c r="W52" s="10"/>
      <c r="X52" s="10" t="str">
        <f>'Balance Sheet'!B17/'Balance Sheet'!B41</f>
        <v>22.47161344</v>
      </c>
      <c r="Y52" s="10" t="str">
        <f>'Balance Sheet'!C17/'Balance Sheet'!C41</f>
        <v>18.15770867</v>
      </c>
      <c r="Z52" s="10" t="str">
        <f>'Balance Sheet'!D17/'Balance Sheet'!D41</f>
        <v>19.65566318</v>
      </c>
      <c r="AA52" s="10" t="str">
        <f>'Balance Sheet'!E17/'Balance Sheet'!E41</f>
        <v>21.03150258</v>
      </c>
      <c r="AB52" s="10" t="str">
        <f>'Balance Sheet'!F17/'Balance Sheet'!F41</f>
        <v>20.36975931</v>
      </c>
    </row>
    <row r="53" ht="15.75" hidden="1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 t="str">
        <f t="shared" ref="X53:AB53" si="5">X49*X50*X51*X52</f>
        <v>0</v>
      </c>
      <c r="Y53" s="10" t="str">
        <f t="shared" si="5"/>
        <v>0</v>
      </c>
      <c r="Z53" s="10" t="str">
        <f t="shared" si="5"/>
        <v>0</v>
      </c>
      <c r="AA53" s="10" t="str">
        <f t="shared" si="5"/>
        <v>0</v>
      </c>
      <c r="AB53" s="10" t="str">
        <f t="shared" si="5"/>
        <v>0</v>
      </c>
    </row>
    <row r="54" ht="15.0" hidden="1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ht="15.0" hidden="1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ht="15.75" hidden="1" customHeight="1">
      <c r="A56" s="11" t="s">
        <v>89</v>
      </c>
      <c r="B56" s="11">
        <v>2021.0</v>
      </c>
      <c r="C56" s="11">
        <v>2020.0</v>
      </c>
      <c r="D56" s="11">
        <v>2019.0</v>
      </c>
      <c r="E56" s="11">
        <v>2018.0</v>
      </c>
      <c r="F56" s="11">
        <v>2017.0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ht="15.75" hidden="1" customHeight="1">
      <c r="A57" s="20" t="s">
        <v>90</v>
      </c>
      <c r="B57" s="20"/>
      <c r="C57" s="20"/>
      <c r="D57" s="20"/>
      <c r="E57" s="20"/>
      <c r="F57" s="2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ht="15.75" hidden="1" customHeight="1">
      <c r="A58" s="20" t="s">
        <v>91</v>
      </c>
      <c r="B58" s="20" t="str">
        <f t="shared" ref="B58:F58" si="6">(B61*B60)/(B60*B59)</f>
        <v>2.014532243</v>
      </c>
      <c r="C58" s="20" t="str">
        <f t="shared" si="6"/>
        <v>1.850363403</v>
      </c>
      <c r="D58" s="20" t="str">
        <f t="shared" si="6"/>
        <v>1.808522114</v>
      </c>
      <c r="E58" s="20" t="str">
        <f t="shared" si="6"/>
        <v>1.111622074</v>
      </c>
      <c r="F58" s="20" t="str">
        <f t="shared" si="6"/>
        <v>1.332988089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ht="15.75" hidden="1" customHeight="1">
      <c r="A59" s="21" t="s">
        <v>92</v>
      </c>
      <c r="B59" s="21">
        <v>22.02</v>
      </c>
      <c r="C59" s="21">
        <v>23.39</v>
      </c>
      <c r="D59" s="21">
        <v>18.54</v>
      </c>
      <c r="E59" s="21">
        <v>23.92</v>
      </c>
      <c r="F59" s="21">
        <v>19.31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ht="15.75" hidden="1" customHeight="1">
      <c r="A60" s="21" t="s">
        <v>93</v>
      </c>
      <c r="B60" s="22">
        <v>1.26026018E9</v>
      </c>
      <c r="C60" s="22">
        <v>1.26026018E9</v>
      </c>
      <c r="D60" s="22">
        <v>1.26026018E9</v>
      </c>
      <c r="E60" s="22">
        <v>1.26026018E9</v>
      </c>
      <c r="F60" s="22">
        <v>1.26026018E9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ht="15.75" hidden="1" customHeight="1">
      <c r="A61" s="21" t="s">
        <v>94</v>
      </c>
      <c r="B61" s="23">
        <v>44.36</v>
      </c>
      <c r="C61" s="23">
        <v>43.28</v>
      </c>
      <c r="D61" s="23">
        <v>33.53</v>
      </c>
      <c r="E61" s="23">
        <v>26.59</v>
      </c>
      <c r="F61" s="23">
        <v>25.74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ht="15.75" hidden="1" customHeight="1">
      <c r="A62" s="20" t="s">
        <v>95</v>
      </c>
      <c r="B62" s="20"/>
      <c r="C62" s="20"/>
      <c r="D62" s="20"/>
      <c r="E62" s="20"/>
      <c r="F62" s="2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ht="15.75" hidden="1" customHeight="1">
      <c r="A63" s="20" t="s">
        <v>96</v>
      </c>
      <c r="B63" s="20" t="str">
        <f t="shared" ref="B63:F63" si="7">B64/B65</f>
        <v>1.317695534</v>
      </c>
      <c r="C63" s="20" t="str">
        <f t="shared" si="7"/>
        <v>1.05809409</v>
      </c>
      <c r="D63" s="20" t="str">
        <f t="shared" si="7"/>
        <v>1.031251535</v>
      </c>
      <c r="E63" s="20" t="str">
        <f t="shared" si="7"/>
        <v>1.072144847</v>
      </c>
      <c r="F63" s="20" t="str">
        <f t="shared" si="7"/>
        <v>1.017381319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ht="15.75" hidden="1" customHeight="1">
      <c r="A64" s="21" t="s">
        <v>97</v>
      </c>
      <c r="B64" s="22">
        <v>1.222420697E9</v>
      </c>
      <c r="C64" s="22">
        <v>9.56675071E8</v>
      </c>
      <c r="D64" s="22">
        <v>7.8664286E8</v>
      </c>
      <c r="E64" s="22">
        <v>6.67452221E8</v>
      </c>
      <c r="F64" s="22">
        <v>6.33359777E8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 ht="15.75" hidden="1" customHeight="1">
      <c r="A65" s="21" t="s">
        <v>98</v>
      </c>
      <c r="B65" s="22">
        <v>9.27695864E8</v>
      </c>
      <c r="C65" s="22">
        <v>9.04149338E8</v>
      </c>
      <c r="D65" s="22">
        <v>7.62804062E8</v>
      </c>
      <c r="E65" s="22">
        <v>6.22539224E8</v>
      </c>
      <c r="F65" s="22">
        <v>6.22539224E8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 ht="15.75" hidden="1" customHeight="1">
      <c r="A66" s="20" t="s">
        <v>99</v>
      </c>
      <c r="B66" s="20" t="str">
        <f t="shared" ref="B66:F66" si="8">B67/B68</f>
        <v>0.6015035236</v>
      </c>
      <c r="C66" s="20" t="str">
        <f t="shared" si="8"/>
        <v>0.9545793384</v>
      </c>
      <c r="D66" s="20" t="str">
        <f t="shared" si="8"/>
        <v>0.5738825688</v>
      </c>
      <c r="E66" s="20" t="str">
        <f t="shared" si="8"/>
        <v>0.5474861355</v>
      </c>
      <c r="F66" s="20" t="str">
        <f t="shared" si="8"/>
        <v>0.5479322381</v>
      </c>
      <c r="G66" s="10" t="s">
        <v>100</v>
      </c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 ht="15.75" hidden="1" customHeight="1">
      <c r="A67" s="21" t="s">
        <v>101</v>
      </c>
      <c r="B67" s="22" t="str">
        <f>B68-404645277000</f>
        <v>610,784,723,000</v>
      </c>
      <c r="C67" s="22" t="str">
        <f>C68-35936237000</f>
        <v>755,250,763,000</v>
      </c>
      <c r="D67" s="22" t="str">
        <f>D68-289461352000</f>
        <v>389,838,134,000</v>
      </c>
      <c r="E67" s="22" t="str">
        <f>E68- 259578178000</f>
        <v>314,057,678,000</v>
      </c>
      <c r="F67" s="22" t="str">
        <f>F68-237700985000</f>
        <v>288,107,323,000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 ht="15.75" hidden="1" customHeight="1">
      <c r="A68" s="21" t="s">
        <v>102</v>
      </c>
      <c r="B68" s="22">
        <v>1.01543E12</v>
      </c>
      <c r="C68" s="22">
        <v>7.91187E11</v>
      </c>
      <c r="D68" s="22">
        <v>6.79299486E11</v>
      </c>
      <c r="E68" s="22">
        <v>5.73635856E11</v>
      </c>
      <c r="F68" s="22">
        <v>5.25808308E11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 ht="15.75" hidden="1" customHeight="1">
      <c r="A69" s="20" t="s">
        <v>103</v>
      </c>
      <c r="B69" s="20" t="str">
        <f t="shared" ref="B69:F69" si="9">B70/B71</f>
        <v>2.85974026</v>
      </c>
      <c r="C69" s="20" t="str">
        <f t="shared" si="9"/>
        <v>2.729288215</v>
      </c>
      <c r="D69" s="20" t="str">
        <f t="shared" si="9"/>
        <v>3.328545781</v>
      </c>
      <c r="E69" s="20" t="str">
        <f t="shared" si="9"/>
        <v>6.795454545</v>
      </c>
      <c r="F69" s="20" t="str">
        <f t="shared" si="9"/>
        <v>4.619617225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 ht="15.75" hidden="1" customHeight="1">
      <c r="A70" s="21" t="s">
        <v>104</v>
      </c>
      <c r="B70" s="21">
        <v>22.02</v>
      </c>
      <c r="C70" s="21">
        <v>23.39</v>
      </c>
      <c r="D70" s="21">
        <v>18.54</v>
      </c>
      <c r="E70" s="21">
        <v>23.92</v>
      </c>
      <c r="F70" s="21">
        <v>19.31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 ht="15.75" hidden="1" customHeight="1">
      <c r="A71" s="21" t="s">
        <v>105</v>
      </c>
      <c r="B71" s="21">
        <v>7.7</v>
      </c>
      <c r="C71" s="21">
        <v>8.57</v>
      </c>
      <c r="D71" s="21">
        <v>5.57</v>
      </c>
      <c r="E71" s="21">
        <v>3.52</v>
      </c>
      <c r="F71" s="21">
        <v>4.18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 ht="15.75" customHeight="1">
      <c r="A72" s="24" t="s">
        <v>106</v>
      </c>
      <c r="B72" s="25"/>
      <c r="C72" s="25"/>
      <c r="D72" s="25"/>
      <c r="E72" s="25"/>
      <c r="F72" s="26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 ht="15.75" customHeight="1">
      <c r="A73" s="27"/>
      <c r="B73" s="28">
        <v>2021.0</v>
      </c>
      <c r="C73" s="28">
        <v>2020.0</v>
      </c>
      <c r="D73" s="28">
        <v>2019.0</v>
      </c>
      <c r="E73" s="28">
        <v>2018.0</v>
      </c>
      <c r="F73" s="29">
        <v>2017.0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 ht="15.75" customHeight="1">
      <c r="A74" s="30" t="s">
        <v>107</v>
      </c>
      <c r="B74" s="31" t="str">
        <f t="shared" ref="B74:F74" si="10">B29/B30</f>
        <v>17.34%</v>
      </c>
      <c r="C74" s="31" t="str">
        <f t="shared" si="10"/>
        <v>19.86%</v>
      </c>
      <c r="D74" s="31" t="str">
        <f t="shared" si="10"/>
        <v>16.55%</v>
      </c>
      <c r="E74" s="31" t="str">
        <f t="shared" si="10"/>
        <v>13.19%</v>
      </c>
      <c r="F74" s="32" t="str">
        <f t="shared" si="10"/>
        <v>15.74%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 ht="15.75" customHeight="1">
      <c r="A75" s="30" t="s">
        <v>108</v>
      </c>
      <c r="B75" s="31" t="str">
        <f t="shared" ref="B75:F75" si="11">B29/B31</f>
        <v>0.77%</v>
      </c>
      <c r="C75" s="31" t="str">
        <f t="shared" si="11"/>
        <v>1.09%</v>
      </c>
      <c r="D75" s="31" t="str">
        <f t="shared" si="11"/>
        <v>0.84%</v>
      </c>
      <c r="E75" s="31" t="str">
        <f t="shared" si="11"/>
        <v>0.63%</v>
      </c>
      <c r="F75" s="32" t="str">
        <f t="shared" si="11"/>
        <v>0.77%</v>
      </c>
      <c r="G75" s="11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 ht="15.75" customHeight="1">
      <c r="A76" s="30" t="s">
        <v>109</v>
      </c>
      <c r="B76" s="31" t="str">
        <f t="shared" ref="B76:F76" si="12">B32/B31</f>
        <v>0.88%</v>
      </c>
      <c r="C76" s="31" t="str">
        <f t="shared" si="12"/>
        <v>1.00%</v>
      </c>
      <c r="D76" s="31" t="str">
        <f t="shared" si="12"/>
        <v>0.45%</v>
      </c>
      <c r="E76" s="31" t="str">
        <f t="shared" si="12"/>
        <v>0.38%</v>
      </c>
      <c r="F76" s="32" t="str">
        <f t="shared" si="12"/>
        <v>0.16%</v>
      </c>
      <c r="G76" s="11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 ht="15.75" customHeight="1">
      <c r="A77" s="30" t="s">
        <v>110</v>
      </c>
      <c r="B77" s="31" t="str">
        <f>('Income Statement'!B13-'Income Statement'!B21-'Income Statement'!B18)/'Balance Sheet'!B17</f>
        <v>0.36%</v>
      </c>
      <c r="C77" s="31" t="str">
        <f>('Income Statement'!C13-'Income Statement'!C21-'Income Statement'!C18)/'Balance Sheet'!C17</f>
        <v>0.79%</v>
      </c>
      <c r="D77" s="31" t="str">
        <f>('Income Statement'!D13-'Income Statement'!D21-'Income Statement'!D18)/'Balance Sheet'!D17</f>
        <v>0.78%</v>
      </c>
      <c r="E77" s="31" t="str">
        <f>('Income Statement'!E13-'Income Statement'!E21-'Income Statement'!E18)/'Balance Sheet'!E17</f>
        <v>0.56%</v>
      </c>
      <c r="F77" s="32" t="str">
        <f>('Income Statement'!F13-'Income Statement'!F21-'Income Statement'!F18)/'Balance Sheet'!F17</f>
        <v>1.10%</v>
      </c>
      <c r="G77" s="11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 ht="15.75" customHeight="1">
      <c r="A78" s="30" t="s">
        <v>111</v>
      </c>
      <c r="B78" s="31" t="str">
        <f t="shared" ref="B78:F78" si="13">(B41-B42)/B43</f>
        <v>1.66%</v>
      </c>
      <c r="C78" s="31" t="str">
        <f t="shared" si="13"/>
        <v>2.00%</v>
      </c>
      <c r="D78" s="31" t="str">
        <f t="shared" si="13"/>
        <v>1.36%</v>
      </c>
      <c r="E78" s="31" t="str">
        <f t="shared" si="13"/>
        <v>1.13%</v>
      </c>
      <c r="F78" s="32" t="str">
        <f t="shared" si="13"/>
        <v>1.11%</v>
      </c>
      <c r="G78" s="11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 ht="15.75" customHeight="1">
      <c r="A79" s="30" t="s">
        <v>112</v>
      </c>
      <c r="B79" s="33">
        <v>7.71</v>
      </c>
      <c r="C79" s="33">
        <v>8.61</v>
      </c>
      <c r="D79" s="33">
        <v>5.58</v>
      </c>
      <c r="E79" s="33">
        <v>3.51</v>
      </c>
      <c r="F79" s="33">
        <v>4.06</v>
      </c>
      <c r="G79" s="11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ht="15.75" customHeight="1">
      <c r="A80" s="30" t="s">
        <v>113</v>
      </c>
      <c r="B80" s="34" t="str">
        <f t="shared" ref="B80:F80" si="14">(B81/B82)-(B83/B84)</f>
        <v>1.114%</v>
      </c>
      <c r="C80" s="34" t="str">
        <f t="shared" si="14"/>
        <v>1.280%</v>
      </c>
      <c r="D80" s="34" t="str">
        <f t="shared" si="14"/>
        <v>0.654%</v>
      </c>
      <c r="E80" s="34" t="str">
        <f t="shared" si="14"/>
        <v>0.566%</v>
      </c>
      <c r="F80" s="35" t="str">
        <f t="shared" si="14"/>
        <v>0.283%</v>
      </c>
      <c r="G80" s="11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ht="15.75" hidden="1" customHeight="1">
      <c r="A81" s="36" t="s">
        <v>114</v>
      </c>
      <c r="B81" s="37" t="str">
        <f>'Income Statement'!B5</f>
        <v>32,429,546</v>
      </c>
      <c r="C81" s="37" t="str">
        <f>'Income Statement'!C5</f>
        <v>30,275,781</v>
      </c>
      <c r="D81" s="37" t="str">
        <f>'Income Statement'!D5</f>
        <v>22,136,522</v>
      </c>
      <c r="E81" s="37" t="str">
        <f>'Income Statement'!E5</f>
        <v>18,609,958</v>
      </c>
      <c r="F81" s="38" t="str">
        <f>'Income Statement'!F5</f>
        <v>16,195,262</v>
      </c>
      <c r="G81" s="11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ht="15.75" hidden="1" customHeight="1">
      <c r="A82" s="36" t="s">
        <v>115</v>
      </c>
      <c r="B82" s="37" t="str">
        <f t="shared" ref="B82:F82" si="15">B18</f>
        <v>1,097,460,409</v>
      </c>
      <c r="C82" s="37" t="str">
        <f t="shared" si="15"/>
        <v>853,224,189</v>
      </c>
      <c r="D82" s="37" t="str">
        <f t="shared" si="15"/>
        <v>706,642,170</v>
      </c>
      <c r="E82" s="37" t="str">
        <f t="shared" si="15"/>
        <v>607,434,536</v>
      </c>
      <c r="F82" s="38" t="str">
        <f t="shared" si="15"/>
        <v>579,093,669</v>
      </c>
      <c r="G82" s="11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ht="15.75" hidden="1" customHeight="1">
      <c r="A83" s="36" t="s">
        <v>116</v>
      </c>
      <c r="B83" s="37" t="str">
        <f>'Income Statement'!B19</f>
        <v>21,320,999</v>
      </c>
      <c r="C83" s="37" t="str">
        <f>'Income Statement'!C19</f>
        <v>20,309,105</v>
      </c>
      <c r="D83" s="37" t="str">
        <f>'Income Statement'!D19</f>
        <v>18,377,125</v>
      </c>
      <c r="E83" s="37" t="str">
        <f>'Income Statement'!E19</f>
        <v>15,891,521</v>
      </c>
      <c r="F83" s="38" t="str">
        <f>'Income Statement'!F19</f>
        <v>15,142,197</v>
      </c>
      <c r="G83" s="11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ht="15.75" hidden="1" customHeight="1">
      <c r="A84" s="36" t="s">
        <v>71</v>
      </c>
      <c r="B84" s="37" t="str">
        <f t="shared" ref="B84:F84" si="16">B27</f>
        <v>1,158,119,893</v>
      </c>
      <c r="C84" s="37" t="str">
        <f t="shared" si="16"/>
        <v>895,369,951</v>
      </c>
      <c r="D84" s="37" t="str">
        <f t="shared" si="16"/>
        <v>741,396,075</v>
      </c>
      <c r="E84" s="37" t="str">
        <f t="shared" si="16"/>
        <v>636,292,849</v>
      </c>
      <c r="F84" s="38" t="str">
        <f t="shared" si="16"/>
        <v>602,385,162</v>
      </c>
      <c r="G84" s="11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 ht="15.75" customHeight="1">
      <c r="A85" s="36"/>
      <c r="B85" s="37"/>
      <c r="C85" s="37"/>
      <c r="D85" s="37"/>
      <c r="E85" s="37"/>
      <c r="F85" s="38"/>
      <c r="G85" s="11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ht="15.75" customHeight="1">
      <c r="A86" s="30" t="s">
        <v>107</v>
      </c>
      <c r="B86" s="31" t="str">
        <f t="shared" ref="B86:F86" si="17">B87*B88</f>
        <v>17.34%</v>
      </c>
      <c r="C86" s="31" t="str">
        <f t="shared" si="17"/>
        <v>19.86%</v>
      </c>
      <c r="D86" s="31" t="str">
        <f t="shared" si="17"/>
        <v>16.55%</v>
      </c>
      <c r="E86" s="31" t="str">
        <f t="shared" si="17"/>
        <v>13.19%</v>
      </c>
      <c r="F86" s="31" t="str">
        <f t="shared" si="17"/>
        <v>15.74%</v>
      </c>
      <c r="G86" s="11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 ht="15.75" customHeight="1">
      <c r="A87" s="30" t="s">
        <v>108</v>
      </c>
      <c r="B87" s="31">
        <v>0.007715010143381083</v>
      </c>
      <c r="C87" s="31">
        <v>0.010934779795576284</v>
      </c>
      <c r="D87" s="31">
        <v>0.008420372806118636</v>
      </c>
      <c r="E87" s="31">
        <v>0.0062706816298168455</v>
      </c>
      <c r="F87" s="32">
        <v>0.007725731786597487</v>
      </c>
      <c r="G87" s="11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ht="15.75" customHeight="1">
      <c r="A88" s="30" t="s">
        <v>117</v>
      </c>
      <c r="B88" s="33" t="str">
        <f t="shared" ref="B88:F88" si="18">B31/B30</f>
        <v>22.47</v>
      </c>
      <c r="C88" s="33" t="str">
        <f t="shared" si="18"/>
        <v>18.16</v>
      </c>
      <c r="D88" s="33" t="str">
        <f t="shared" si="18"/>
        <v>19.66</v>
      </c>
      <c r="E88" s="33" t="str">
        <f t="shared" si="18"/>
        <v>21.03</v>
      </c>
      <c r="F88" s="39" t="str">
        <f t="shared" si="18"/>
        <v>20.37</v>
      </c>
      <c r="G88" s="11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ht="15.75" customHeight="1">
      <c r="A89" s="30" t="s">
        <v>118</v>
      </c>
      <c r="B89" s="31" t="str">
        <f>B91*B90</f>
        <v>0.77%</v>
      </c>
      <c r="C89" s="31" t="str">
        <f t="shared" ref="C89:F89" si="19">C90*C91</f>
        <v>1.09%</v>
      </c>
      <c r="D89" s="31" t="str">
        <f t="shared" si="19"/>
        <v>0.84%</v>
      </c>
      <c r="E89" s="31" t="str">
        <f t="shared" si="19"/>
        <v>0.63%</v>
      </c>
      <c r="F89" s="31" t="str">
        <f t="shared" si="19"/>
        <v>0.77%</v>
      </c>
      <c r="G89" s="11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ht="15.75" customHeight="1">
      <c r="A90" s="30" t="s">
        <v>119</v>
      </c>
      <c r="B90" s="31" t="str">
        <f>('Income Statement'!B25/('Income Statement'!B5))</f>
        <v>29.96%</v>
      </c>
      <c r="C90" s="31" t="str">
        <f>('Income Statement'!C25/('Income Statement'!C5))</f>
        <v>35.86%</v>
      </c>
      <c r="D90" s="31" t="str">
        <f>('Income Statement'!D25/('Income Statement'!D5))</f>
        <v>31.70%</v>
      </c>
      <c r="E90" s="31" t="str">
        <f>('Income Statement'!E25/('Income Statement'!E5))</f>
        <v>23.81%</v>
      </c>
      <c r="F90" s="32" t="str">
        <f>('Income Statement'!F25/('Income Statement'!F5))</f>
        <v>31.62%</v>
      </c>
      <c r="G90" s="11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ht="15.75" customHeight="1">
      <c r="A91" s="30" t="s">
        <v>120</v>
      </c>
      <c r="B91" s="33" t="str">
        <f>'Income Statement'!B5/'Balance Sheet'!B17</f>
        <v>0.03</v>
      </c>
      <c r="C91" s="33" t="str">
        <f>'Income Statement'!C5/'Balance Sheet'!C17</f>
        <v>0.03</v>
      </c>
      <c r="D91" s="33" t="str">
        <f>'Income Statement'!D5/'Balance Sheet'!D17</f>
        <v>0.03</v>
      </c>
      <c r="E91" s="33" t="str">
        <f>'Income Statement'!E5/'Balance Sheet'!E17</f>
        <v>0.03</v>
      </c>
      <c r="F91" s="39" t="str">
        <f>'Income Statement'!F5/'Balance Sheet'!F17</f>
        <v>0.02</v>
      </c>
      <c r="G91" s="11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ht="15.75" customHeight="1">
      <c r="A92" s="30"/>
      <c r="B92" s="37"/>
      <c r="C92" s="37"/>
      <c r="D92" s="37"/>
      <c r="E92" s="37"/>
      <c r="F92" s="38"/>
      <c r="G92" s="11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ht="15.75" customHeight="1">
      <c r="A93" s="30" t="s">
        <v>107</v>
      </c>
      <c r="B93" s="31" t="str">
        <f t="shared" ref="B93:F93" si="20">B94*B95*B96*B97</f>
        <v>17.34%</v>
      </c>
      <c r="C93" s="31" t="str">
        <f t="shared" si="20"/>
        <v>19.86%</v>
      </c>
      <c r="D93" s="31" t="str">
        <f t="shared" si="20"/>
        <v>16.55%</v>
      </c>
      <c r="E93" s="31" t="str">
        <f t="shared" si="20"/>
        <v>13.19%</v>
      </c>
      <c r="F93" s="31" t="str">
        <f t="shared" si="20"/>
        <v>15.74%</v>
      </c>
      <c r="G93" s="11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ht="15.75" customHeight="1">
      <c r="A94" s="30" t="s">
        <v>121</v>
      </c>
      <c r="B94" s="40" t="str">
        <f>'Income Statement'!B25/'Income Statement'!B23</f>
        <v>61.99%</v>
      </c>
      <c r="C94" s="40" t="str">
        <f>'Income Statement'!C25/'Income Statement'!C23</f>
        <v>60.87%</v>
      </c>
      <c r="D94" s="40" t="str">
        <f>'Income Statement'!D25/'Income Statement'!D23</f>
        <v>67.54%</v>
      </c>
      <c r="E94" s="40" t="str">
        <f>'Income Statement'!E25/'Income Statement'!E23</f>
        <v>64.41%</v>
      </c>
      <c r="F94" s="40" t="str">
        <f>'Income Statement'!F25/'Income Statement'!F23</f>
        <v>61.37%</v>
      </c>
      <c r="G94" s="11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ht="15.75" customHeight="1">
      <c r="A95" s="30" t="s">
        <v>122</v>
      </c>
      <c r="B95" s="31" t="str">
        <f>'Income Statement'!B23/'Income Statement'!B14</f>
        <v>37.34%</v>
      </c>
      <c r="C95" s="31" t="str">
        <f>'Income Statement'!C23/'Income Statement'!C14</f>
        <v>44.46%</v>
      </c>
      <c r="D95" s="31" t="str">
        <f>'Income Statement'!D23/'Income Statement'!D14</f>
        <v>35.17%</v>
      </c>
      <c r="E95" s="31" t="str">
        <f>'Income Statement'!E23/'Income Statement'!E14</f>
        <v>28.39%</v>
      </c>
      <c r="F95" s="31" t="str">
        <f>'Income Statement'!F23/'Income Statement'!F14</f>
        <v>37.41%</v>
      </c>
      <c r="G95" s="11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ht="15.75" customHeight="1">
      <c r="A96" s="30" t="s">
        <v>123</v>
      </c>
      <c r="B96" s="31" t="str">
        <f>'Income Statement'!B14/'Balance Sheet'!B17</f>
        <v>3.33%</v>
      </c>
      <c r="C96" s="31" t="str">
        <f>'Income Statement'!C14/'Balance Sheet'!C17</f>
        <v>4.04%</v>
      </c>
      <c r="D96" s="31" t="str">
        <f>'Income Statement'!D14/'Balance Sheet'!D17</f>
        <v>3.54%</v>
      </c>
      <c r="E96" s="31" t="str">
        <f>'Income Statement'!E14/'Balance Sheet'!E17</f>
        <v>3.43%</v>
      </c>
      <c r="F96" s="31" t="str">
        <f>'Income Statement'!F14/'Balance Sheet'!F17</f>
        <v>3.37%</v>
      </c>
      <c r="G96" s="11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 ht="15.75" customHeight="1">
      <c r="A97" s="30" t="s">
        <v>124</v>
      </c>
      <c r="B97" s="33" t="str">
        <f>'Balance Sheet'!B17/'Balance Sheet'!B41</f>
        <v>22.47</v>
      </c>
      <c r="C97" s="33" t="str">
        <f>'Balance Sheet'!C17/'Balance Sheet'!C41</f>
        <v>18.16</v>
      </c>
      <c r="D97" s="33" t="str">
        <f>'Balance Sheet'!D17/'Balance Sheet'!D41</f>
        <v>19.66</v>
      </c>
      <c r="E97" s="33" t="str">
        <f>'Balance Sheet'!E17/'Balance Sheet'!E41</f>
        <v>21.03</v>
      </c>
      <c r="F97" s="33" t="str">
        <f>'Balance Sheet'!F17/'Balance Sheet'!F41</f>
        <v>20.37</v>
      </c>
      <c r="G97" s="11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 ht="15.75" customHeight="1">
      <c r="A98" s="30"/>
      <c r="B98" s="37"/>
      <c r="C98" s="37"/>
      <c r="D98" s="37"/>
      <c r="E98" s="37"/>
      <c r="F98" s="38"/>
      <c r="G98" s="11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 ht="15.75" customHeight="1">
      <c r="A99" s="10"/>
      <c r="B99" s="10"/>
      <c r="C99" s="10"/>
      <c r="D99" s="10"/>
      <c r="E99" s="10"/>
      <c r="F99" s="10"/>
      <c r="G99" s="11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</sheetData>
  <mergeCells count="1">
    <mergeCell ref="A72:F72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1.29"/>
    <col customWidth="1" min="2" max="6" width="12.57"/>
    <col customWidth="1" min="7" max="11" width="8.71"/>
  </cols>
  <sheetData>
    <row r="1">
      <c r="A1" s="41" t="s">
        <v>125</v>
      </c>
      <c r="B1" s="42"/>
      <c r="C1" s="42"/>
      <c r="D1" s="42"/>
      <c r="E1" s="42"/>
      <c r="F1" s="43"/>
    </row>
    <row r="2">
      <c r="A2" s="44"/>
      <c r="B2" s="28">
        <v>2021.0</v>
      </c>
      <c r="C2" s="28">
        <v>2020.0</v>
      </c>
      <c r="D2" s="28">
        <v>2019.0</v>
      </c>
      <c r="E2" s="28">
        <v>2018.0</v>
      </c>
      <c r="F2" s="29">
        <v>2017.0</v>
      </c>
    </row>
    <row r="3">
      <c r="A3" s="45" t="s">
        <v>80</v>
      </c>
      <c r="B3" s="46">
        <v>0.025121787179347967</v>
      </c>
      <c r="C3" s="46">
        <v>0.03034778140204752</v>
      </c>
      <c r="D3" s="46">
        <v>0.026794391390056745</v>
      </c>
      <c r="E3" s="46">
        <v>0.029126761384542073</v>
      </c>
      <c r="F3" s="47">
        <v>0.01930009061007529</v>
      </c>
    </row>
    <row r="4">
      <c r="A4" s="45" t="s">
        <v>81</v>
      </c>
      <c r="B4" s="46">
        <v>0.010433798373482352</v>
      </c>
      <c r="C4" s="46">
        <v>0.004392113771646395</v>
      </c>
      <c r="D4" s="46">
        <v>0.0020736021819601808</v>
      </c>
      <c r="E4" s="46">
        <v>0.0056125451438439515</v>
      </c>
      <c r="F4" s="47">
        <v>-0.004547597379544964</v>
      </c>
    </row>
    <row r="5">
      <c r="A5" s="45" t="s">
        <v>126</v>
      </c>
      <c r="B5" s="46">
        <v>0.012181678995728362</v>
      </c>
      <c r="C5" s="46">
        <v>0.00591016165333506</v>
      </c>
      <c r="D5" s="46">
        <v>0.0023198739702196373</v>
      </c>
      <c r="E5" s="46">
        <v>0.004782518939849008</v>
      </c>
      <c r="F5" s="47">
        <v>-0.004899618342857461</v>
      </c>
    </row>
    <row r="6">
      <c r="A6" s="45" t="s">
        <v>127</v>
      </c>
      <c r="B6" s="46">
        <v>0.08893410510112951</v>
      </c>
      <c r="C6" s="46">
        <v>0.03611377020744304</v>
      </c>
      <c r="D6" s="46">
        <v>0.018236678993626344</v>
      </c>
      <c r="E6" s="46">
        <v>0.04346902701432285</v>
      </c>
      <c r="F6" s="47">
        <v>-0.03614759468943473</v>
      </c>
    </row>
    <row r="7">
      <c r="A7" s="45" t="s">
        <v>128</v>
      </c>
      <c r="B7" s="46">
        <v>0.0104</v>
      </c>
      <c r="C7" s="46">
        <v>0.005</v>
      </c>
      <c r="D7" s="46">
        <v>0.0021</v>
      </c>
      <c r="E7" s="46">
        <v>0.0043</v>
      </c>
      <c r="F7" s="46">
        <v>-0.0045</v>
      </c>
    </row>
    <row r="8">
      <c r="A8" s="45" t="s">
        <v>129</v>
      </c>
      <c r="B8" s="46">
        <v>0.08893410510112951</v>
      </c>
      <c r="C8" s="46">
        <v>0.03611377020744304</v>
      </c>
      <c r="D8" s="46">
        <v>0.018236678993626344</v>
      </c>
      <c r="E8" s="46">
        <v>0.04346902701432285</v>
      </c>
      <c r="F8" s="47">
        <v>-0.03614759468943473</v>
      </c>
    </row>
    <row r="9">
      <c r="A9" s="45" t="s">
        <v>130</v>
      </c>
      <c r="B9" s="46">
        <v>0.45348400505538256</v>
      </c>
      <c r="C9" s="46">
        <v>0.44510022855173</v>
      </c>
      <c r="D9" s="46">
        <v>0.6192414904676017</v>
      </c>
      <c r="E9" s="46">
        <v>0.7787482699962658</v>
      </c>
      <c r="F9" s="47">
        <v>0.8220259026543855</v>
      </c>
    </row>
    <row r="10">
      <c r="A10" s="48"/>
      <c r="B10" s="42"/>
      <c r="C10" s="42"/>
      <c r="D10" s="42"/>
      <c r="E10" s="42"/>
      <c r="F10" s="43"/>
      <c r="G10" s="4"/>
      <c r="H10" s="4"/>
      <c r="I10" s="4"/>
      <c r="J10" s="4"/>
      <c r="K10" s="4"/>
    </row>
    <row r="11">
      <c r="A11" s="41" t="s">
        <v>131</v>
      </c>
      <c r="B11" s="42"/>
      <c r="C11" s="42"/>
      <c r="D11" s="42"/>
      <c r="E11" s="42"/>
      <c r="F11" s="43"/>
    </row>
    <row r="12">
      <c r="A12" s="44"/>
      <c r="B12" s="28">
        <v>2021.0</v>
      </c>
      <c r="C12" s="28">
        <v>2020.0</v>
      </c>
      <c r="D12" s="28">
        <v>2019.0</v>
      </c>
      <c r="E12" s="28">
        <v>2018.0</v>
      </c>
      <c r="F12" s="29">
        <v>2017.0</v>
      </c>
    </row>
    <row r="13">
      <c r="A13" s="49" t="s">
        <v>132</v>
      </c>
      <c r="B13" s="50"/>
      <c r="C13" s="50"/>
      <c r="D13" s="50"/>
      <c r="E13" s="50"/>
      <c r="F13" s="50"/>
      <c r="G13" s="51"/>
      <c r="H13" s="51"/>
      <c r="I13" s="51"/>
      <c r="J13" s="51"/>
      <c r="K13" s="51"/>
    </row>
    <row r="14">
      <c r="A14" s="45" t="s">
        <v>133</v>
      </c>
      <c r="B14" s="46">
        <v>0.3793632663534941</v>
      </c>
      <c r="C14" s="46">
        <v>0.3983972368225142</v>
      </c>
      <c r="D14" s="46">
        <v>0.447594261354229</v>
      </c>
      <c r="E14" s="46">
        <v>0.4856214957056399</v>
      </c>
      <c r="F14" s="47">
        <v>0.39036735341946005</v>
      </c>
    </row>
    <row r="15">
      <c r="A15" s="45" t="s">
        <v>134</v>
      </c>
      <c r="B15" s="46">
        <v>0.07385053016199276</v>
      </c>
      <c r="C15" s="46">
        <v>0.08246494507114076</v>
      </c>
      <c r="D15" s="46">
        <v>0.08512399243556956</v>
      </c>
      <c r="E15" s="46">
        <v>0.07541207451706769</v>
      </c>
      <c r="F15" s="47">
        <v>0.07157654431290753</v>
      </c>
    </row>
    <row r="16">
      <c r="A16" s="45" t="s">
        <v>135</v>
      </c>
      <c r="B16" s="46">
        <v>0.49171115011744854</v>
      </c>
      <c r="C16" s="46">
        <v>0.4544605884064893</v>
      </c>
      <c r="D16" s="46">
        <v>0.3567187375297496</v>
      </c>
      <c r="E16" s="46">
        <v>0.36993280907704396</v>
      </c>
      <c r="F16" s="47">
        <v>0.4739507867006482</v>
      </c>
    </row>
    <row r="17">
      <c r="A17" s="48"/>
      <c r="B17" s="42"/>
      <c r="C17" s="42"/>
      <c r="D17" s="42"/>
      <c r="E17" s="42"/>
      <c r="F17" s="43"/>
      <c r="G17" s="4"/>
      <c r="H17" s="4"/>
      <c r="I17" s="4"/>
      <c r="J17" s="4"/>
      <c r="K17" s="4"/>
    </row>
    <row r="18">
      <c r="A18" s="41" t="s">
        <v>136</v>
      </c>
      <c r="B18" s="42"/>
      <c r="C18" s="42"/>
      <c r="D18" s="42"/>
      <c r="E18" s="42"/>
      <c r="F18" s="43"/>
    </row>
    <row r="19">
      <c r="A19" s="44"/>
      <c r="B19" s="28">
        <v>2021.0</v>
      </c>
      <c r="C19" s="28">
        <v>2020.0</v>
      </c>
      <c r="D19" s="28">
        <v>2019.0</v>
      </c>
      <c r="E19" s="28">
        <v>2018.0</v>
      </c>
      <c r="F19" s="29">
        <v>2017.0</v>
      </c>
    </row>
    <row r="20">
      <c r="A20" s="45" t="s">
        <v>90</v>
      </c>
      <c r="B20" s="52"/>
      <c r="C20" s="52"/>
      <c r="D20" s="52"/>
      <c r="E20" s="52"/>
      <c r="F20" s="53"/>
    </row>
    <row r="21" ht="15.75" customHeight="1">
      <c r="A21" s="45" t="s">
        <v>91</v>
      </c>
      <c r="B21" s="52">
        <v>2.0145322434150774</v>
      </c>
      <c r="C21" s="52">
        <v>1.8503634031637453</v>
      </c>
      <c r="D21" s="52">
        <v>1.808522114347357</v>
      </c>
      <c r="E21" s="52">
        <v>1.1116220735785953</v>
      </c>
      <c r="F21" s="53">
        <v>1.332988089073019</v>
      </c>
    </row>
    <row r="22" ht="15.75" customHeight="1">
      <c r="A22" s="45" t="s">
        <v>95</v>
      </c>
      <c r="B22" s="52"/>
      <c r="C22" s="52"/>
      <c r="D22" s="52"/>
      <c r="E22" s="52"/>
      <c r="F22" s="53"/>
    </row>
    <row r="23" ht="15.75" customHeight="1">
      <c r="A23" s="48"/>
      <c r="B23" s="42"/>
      <c r="C23" s="42"/>
      <c r="D23" s="42"/>
      <c r="E23" s="42"/>
      <c r="F23" s="43"/>
      <c r="G23" s="4"/>
      <c r="H23" s="4"/>
      <c r="I23" s="4"/>
      <c r="J23" s="4"/>
      <c r="K23" s="4"/>
    </row>
    <row r="24" ht="15.75" customHeight="1">
      <c r="A24" s="41" t="s">
        <v>137</v>
      </c>
      <c r="B24" s="42"/>
      <c r="C24" s="42"/>
      <c r="D24" s="42"/>
      <c r="E24" s="42"/>
      <c r="F24" s="43"/>
    </row>
    <row r="25" ht="15.75" customHeight="1">
      <c r="A25" s="44"/>
      <c r="B25" s="28">
        <v>2021.0</v>
      </c>
      <c r="C25" s="28">
        <v>2020.0</v>
      </c>
      <c r="D25" s="28">
        <v>2019.0</v>
      </c>
      <c r="E25" s="28">
        <v>2018.0</v>
      </c>
      <c r="F25" s="29">
        <v>2017.0</v>
      </c>
    </row>
    <row r="26" ht="15.75" customHeight="1">
      <c r="A26" s="45" t="s">
        <v>96</v>
      </c>
      <c r="B26" s="52">
        <v>1.3176955341044831</v>
      </c>
      <c r="C26" s="52">
        <v>1.0580940899831748</v>
      </c>
      <c r="D26" s="52">
        <v>1.0312515352074776</v>
      </c>
      <c r="E26" s="52">
        <v>1.0721448468924104</v>
      </c>
      <c r="F26" s="53">
        <v>1.0173813192532266</v>
      </c>
    </row>
    <row r="27" ht="15.75" customHeight="1">
      <c r="A27" s="45" t="s">
        <v>99</v>
      </c>
      <c r="B27" s="46">
        <v>0.6015035236303832</v>
      </c>
      <c r="C27" s="46">
        <v>0.9545793383865003</v>
      </c>
      <c r="D27" s="46">
        <v>0.5738825687849851</v>
      </c>
      <c r="E27" s="46">
        <v>0.5474861355249732</v>
      </c>
      <c r="F27" s="47">
        <v>0.5479322380733475</v>
      </c>
    </row>
    <row r="28" ht="15.75" customHeight="1">
      <c r="A28" s="48"/>
      <c r="B28" s="42"/>
      <c r="C28" s="42"/>
      <c r="D28" s="42"/>
      <c r="E28" s="42"/>
      <c r="F28" s="43"/>
      <c r="G28" s="4"/>
      <c r="H28" s="4"/>
      <c r="I28" s="4"/>
      <c r="J28" s="4"/>
      <c r="K28" s="4"/>
    </row>
    <row r="29" ht="15.75" customHeight="1">
      <c r="A29" s="41" t="s">
        <v>138</v>
      </c>
      <c r="B29" s="42"/>
      <c r="C29" s="42"/>
      <c r="D29" s="42"/>
      <c r="E29" s="42"/>
      <c r="F29" s="43"/>
    </row>
    <row r="30" ht="15.75" customHeight="1">
      <c r="A30" s="44"/>
      <c r="B30" s="28">
        <v>2021.0</v>
      </c>
      <c r="C30" s="28">
        <v>2020.0</v>
      </c>
      <c r="D30" s="28">
        <v>2019.0</v>
      </c>
      <c r="E30" s="28">
        <v>2018.0</v>
      </c>
      <c r="F30" s="29">
        <v>2017.0</v>
      </c>
      <c r="G30" s="4"/>
    </row>
    <row r="31" ht="15.75" customHeight="1">
      <c r="A31" s="45" t="s">
        <v>103</v>
      </c>
      <c r="B31" s="50">
        <v>22.02</v>
      </c>
      <c r="C31" s="50">
        <v>23.39</v>
      </c>
      <c r="D31" s="50">
        <v>18.54</v>
      </c>
      <c r="E31" s="50">
        <v>23.92</v>
      </c>
      <c r="F31" s="50">
        <v>19.31</v>
      </c>
      <c r="G31" s="4"/>
      <c r="H31" s="4"/>
      <c r="I31" s="4"/>
      <c r="J31" s="4"/>
      <c r="K31" s="4"/>
    </row>
    <row r="32" ht="15.75" customHeight="1">
      <c r="A32" s="45" t="s">
        <v>139</v>
      </c>
      <c r="B32" s="46">
        <v>0.044500587499556606</v>
      </c>
      <c r="C32" s="46">
        <v>0.05507302811876531</v>
      </c>
      <c r="D32" s="46">
        <v>0.05087592268019539</v>
      </c>
      <c r="E32" s="46">
        <v>0.0475477202012409</v>
      </c>
      <c r="F32" s="47">
        <v>0.0490923817406059</v>
      </c>
    </row>
    <row r="33" ht="15.75" customHeight="1">
      <c r="A33" s="45" t="s">
        <v>140</v>
      </c>
      <c r="B33" s="46"/>
      <c r="C33" s="46"/>
      <c r="D33" s="46"/>
      <c r="E33" s="46"/>
      <c r="F33" s="47"/>
    </row>
    <row r="34" ht="15.75" customHeight="1">
      <c r="A34" s="45" t="s">
        <v>141</v>
      </c>
      <c r="B34" s="46">
        <v>0.09094129856838855</v>
      </c>
      <c r="C34" s="46">
        <v>0.12161881039884286</v>
      </c>
      <c r="D34" s="46">
        <v>0.13882526600948358</v>
      </c>
      <c r="E34" s="46">
        <v>0.12911595978429982</v>
      </c>
      <c r="F34" s="47">
        <v>0.10333239788213713</v>
      </c>
    </row>
    <row r="35" ht="15.75" customHeight="1">
      <c r="A35" s="48"/>
      <c r="B35" s="42"/>
      <c r="C35" s="42"/>
      <c r="D35" s="42"/>
      <c r="E35" s="42"/>
      <c r="F35" s="43"/>
      <c r="G35" s="4"/>
      <c r="H35" s="4"/>
      <c r="I35" s="4"/>
      <c r="J35" s="4"/>
      <c r="K35" s="4"/>
    </row>
    <row r="36" ht="15.75" customHeight="1">
      <c r="A36" s="41" t="s">
        <v>142</v>
      </c>
      <c r="B36" s="42"/>
      <c r="C36" s="42"/>
      <c r="D36" s="42"/>
      <c r="E36" s="42"/>
      <c r="F36" s="43"/>
    </row>
    <row r="37" ht="15.75" customHeight="1">
      <c r="A37" s="44"/>
      <c r="B37" s="28">
        <v>2021.0</v>
      </c>
      <c r="C37" s="28">
        <v>2020.0</v>
      </c>
      <c r="D37" s="28">
        <v>2019.0</v>
      </c>
      <c r="E37" s="28">
        <v>2018.0</v>
      </c>
      <c r="F37" s="29">
        <v>2017.0</v>
      </c>
    </row>
    <row r="38" ht="15.75" customHeight="1">
      <c r="A38" s="54" t="s">
        <v>143</v>
      </c>
      <c r="B38" s="46">
        <v>0.5006861829</v>
      </c>
      <c r="C38" s="46">
        <v>0.5039510908</v>
      </c>
      <c r="D38" s="46">
        <v>0.61728915</v>
      </c>
      <c r="E38" s="46">
        <v>0.6702218112</v>
      </c>
      <c r="F38" s="46">
        <v>0.6700081026</v>
      </c>
      <c r="G38" s="7"/>
      <c r="H38" s="7"/>
      <c r="I38" s="7"/>
      <c r="J38" s="7"/>
      <c r="K38" s="7"/>
    </row>
    <row r="39" ht="15.75" customHeight="1">
      <c r="A39" s="45" t="s">
        <v>144</v>
      </c>
      <c r="B39" s="52">
        <v>1299.242177</v>
      </c>
      <c r="C39" s="52">
        <v>1417.732698</v>
      </c>
      <c r="D39" s="52">
        <v>931.4973454</v>
      </c>
      <c r="E39" s="52">
        <v>587.8585832</v>
      </c>
      <c r="F39" s="52">
        <v>652.6103466</v>
      </c>
    </row>
    <row r="40" ht="15.75" customHeight="1">
      <c r="A40" s="55"/>
      <c r="B40" s="56"/>
      <c r="C40" s="56"/>
      <c r="D40" s="56"/>
      <c r="E40" s="56"/>
      <c r="F40" s="57"/>
      <c r="G40" s="4"/>
      <c r="H40" s="4"/>
      <c r="I40" s="4"/>
      <c r="J40" s="4"/>
      <c r="K40" s="4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2">
    <mergeCell ref="A18:F18"/>
    <mergeCell ref="A17:F17"/>
    <mergeCell ref="A24:F24"/>
    <mergeCell ref="A28:F28"/>
    <mergeCell ref="A1:F1"/>
    <mergeCell ref="A11:F11"/>
    <mergeCell ref="A40:F40"/>
    <mergeCell ref="A35:F35"/>
    <mergeCell ref="A36:F36"/>
    <mergeCell ref="A10:F10"/>
    <mergeCell ref="A23:F23"/>
    <mergeCell ref="A29:F29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14"/>
    <col customWidth="1" min="2" max="6" width="12.0"/>
    <col customWidth="1" min="7" max="7" width="9.14"/>
    <col customWidth="1" min="8" max="8" width="29.43"/>
    <col customWidth="1" min="9" max="13" width="9.43"/>
  </cols>
  <sheetData>
    <row r="1" ht="18.75" customHeight="1">
      <c r="A1" s="58" t="s">
        <v>145</v>
      </c>
      <c r="B1" s="59">
        <v>2021.0</v>
      </c>
      <c r="C1" s="59">
        <v>2020.0</v>
      </c>
      <c r="D1" s="59">
        <v>2019.0</v>
      </c>
      <c r="E1" s="59">
        <v>2018.0</v>
      </c>
      <c r="F1" s="59">
        <v>2017.0</v>
      </c>
      <c r="G1" s="60"/>
      <c r="H1" s="58" t="s">
        <v>146</v>
      </c>
      <c r="I1" s="59">
        <v>2021.0</v>
      </c>
      <c r="J1" s="59">
        <v>2020.0</v>
      </c>
      <c r="K1" s="59">
        <v>2019.0</v>
      </c>
      <c r="L1" s="59">
        <v>2018.0</v>
      </c>
      <c r="M1" s="59">
        <v>2017.0</v>
      </c>
    </row>
    <row r="2" ht="18.75" customHeight="1">
      <c r="A2" s="58"/>
      <c r="B2" s="61">
        <v>0.1338</v>
      </c>
      <c r="C2" s="61">
        <v>0.1548</v>
      </c>
      <c r="D2" s="61">
        <v>0.1338</v>
      </c>
      <c r="E2" s="61">
        <v>0.1251</v>
      </c>
      <c r="F2" s="61">
        <v>0.1209</v>
      </c>
      <c r="G2" s="60"/>
      <c r="H2" s="58" t="s">
        <v>147</v>
      </c>
      <c r="I2" s="62">
        <v>0.2</v>
      </c>
      <c r="J2" s="62">
        <v>0.2</v>
      </c>
      <c r="K2" s="62">
        <v>0.2</v>
      </c>
      <c r="L2" s="62">
        <v>0.2</v>
      </c>
      <c r="M2" s="62">
        <v>0.2</v>
      </c>
    </row>
    <row r="3" ht="18.75" customHeight="1">
      <c r="A3" s="58" t="s">
        <v>148</v>
      </c>
      <c r="B3" s="63">
        <v>1.0</v>
      </c>
      <c r="C3" s="63">
        <v>1.0</v>
      </c>
      <c r="D3" s="63">
        <v>1.0</v>
      </c>
      <c r="E3" s="63">
        <v>1.0</v>
      </c>
      <c r="F3" s="63">
        <v>1.0</v>
      </c>
      <c r="G3" s="60"/>
      <c r="H3" s="58" t="s">
        <v>149</v>
      </c>
      <c r="I3" s="62">
        <v>0.2</v>
      </c>
      <c r="J3" s="62">
        <v>0.2</v>
      </c>
      <c r="K3" s="62">
        <v>0.2</v>
      </c>
      <c r="L3" s="62">
        <v>0.2</v>
      </c>
      <c r="M3" s="62">
        <v>0.2</v>
      </c>
    </row>
    <row r="4" ht="18.75" customHeight="1">
      <c r="A4" s="58" t="s">
        <v>150</v>
      </c>
      <c r="B4" s="64">
        <v>0.2</v>
      </c>
      <c r="C4" s="64">
        <v>0.2</v>
      </c>
      <c r="D4" s="64">
        <v>0.2</v>
      </c>
      <c r="E4" s="64">
        <v>0.2</v>
      </c>
      <c r="F4" s="64">
        <v>0.2</v>
      </c>
      <c r="G4" s="60"/>
      <c r="H4" s="58" t="s">
        <v>151</v>
      </c>
      <c r="I4" s="62">
        <v>1.25</v>
      </c>
      <c r="J4" s="62">
        <v>1.25</v>
      </c>
      <c r="K4" s="62">
        <v>1.25</v>
      </c>
      <c r="L4" s="62">
        <v>1.25</v>
      </c>
      <c r="M4" s="62">
        <v>1.25</v>
      </c>
    </row>
    <row r="5" ht="18.75" customHeight="1">
      <c r="A5" s="58" t="s">
        <v>152</v>
      </c>
      <c r="B5" s="58" t="str">
        <f t="shared" ref="B5:F5" si="1">B4*B3</f>
        <v>0.2</v>
      </c>
      <c r="C5" s="58" t="str">
        <f t="shared" si="1"/>
        <v>0.2</v>
      </c>
      <c r="D5" s="58" t="str">
        <f t="shared" si="1"/>
        <v>0.2</v>
      </c>
      <c r="E5" s="58" t="str">
        <f t="shared" si="1"/>
        <v>0.2</v>
      </c>
      <c r="F5" s="58" t="str">
        <f t="shared" si="1"/>
        <v>0.2</v>
      </c>
      <c r="G5" s="60"/>
      <c r="H5" s="58" t="s">
        <v>153</v>
      </c>
      <c r="I5" s="62" t="str">
        <f t="shared" ref="I5:M5" si="2">B23+B27</f>
        <v>0.9</v>
      </c>
      <c r="J5" s="62" t="str">
        <f t="shared" si="2"/>
        <v>0.75</v>
      </c>
      <c r="K5" s="62" t="str">
        <f t="shared" si="2"/>
        <v>1.05</v>
      </c>
      <c r="L5" s="62" t="str">
        <f t="shared" si="2"/>
        <v>1.2</v>
      </c>
      <c r="M5" s="62" t="str">
        <f t="shared" si="2"/>
        <v>1.05</v>
      </c>
    </row>
    <row r="6" ht="18.75" customHeight="1">
      <c r="A6" s="65"/>
      <c r="B6" s="66"/>
      <c r="C6" s="66"/>
      <c r="D6" s="66"/>
      <c r="E6" s="66"/>
      <c r="F6" s="66"/>
      <c r="G6" s="60"/>
      <c r="H6" s="58" t="s">
        <v>154</v>
      </c>
      <c r="I6" s="62" t="str">
        <f t="shared" ref="I6:M6" si="3">B33+B37</f>
        <v>0.1</v>
      </c>
      <c r="J6" s="62" t="str">
        <f t="shared" si="3"/>
        <v>0.1</v>
      </c>
      <c r="K6" s="62" t="str">
        <f t="shared" si="3"/>
        <v>0.1</v>
      </c>
      <c r="L6" s="62" t="str">
        <f t="shared" si="3"/>
        <v>0.1</v>
      </c>
      <c r="M6" s="62" t="str">
        <f t="shared" si="3"/>
        <v>0.1</v>
      </c>
    </row>
    <row r="7" ht="18.75" customHeight="1">
      <c r="A7" s="58" t="s">
        <v>155</v>
      </c>
      <c r="B7" s="59">
        <v>2021.0</v>
      </c>
      <c r="C7" s="59">
        <v>2020.0</v>
      </c>
      <c r="D7" s="59">
        <v>2019.0</v>
      </c>
      <c r="E7" s="59">
        <v>2018.0</v>
      </c>
      <c r="F7" s="59">
        <v>2017.0</v>
      </c>
      <c r="G7" s="60"/>
      <c r="H7" s="58" t="s">
        <v>156</v>
      </c>
      <c r="I7" s="62">
        <v>0.5</v>
      </c>
      <c r="J7" s="62">
        <v>0.5</v>
      </c>
      <c r="K7" s="62">
        <v>0.5</v>
      </c>
      <c r="L7" s="62">
        <v>0.5</v>
      </c>
      <c r="M7" s="62">
        <v>0.5</v>
      </c>
    </row>
    <row r="8" ht="18.75" customHeight="1">
      <c r="A8" s="60"/>
      <c r="B8" s="61">
        <v>0.0055</v>
      </c>
      <c r="C8" s="61">
        <v>0.0098</v>
      </c>
      <c r="D8" s="61">
        <v>0.01</v>
      </c>
      <c r="E8" s="61">
        <v>0.0045</v>
      </c>
      <c r="F8" s="61">
        <v>0.0069</v>
      </c>
      <c r="G8" s="60"/>
      <c r="H8" s="58" t="s">
        <v>157</v>
      </c>
      <c r="I8" s="58" t="str">
        <f t="shared" ref="I8:M8" si="4">SUM(I2:I7)</f>
        <v>3.15</v>
      </c>
      <c r="J8" s="58" t="str">
        <f t="shared" si="4"/>
        <v>3</v>
      </c>
      <c r="K8" s="58" t="str">
        <f t="shared" si="4"/>
        <v>3.3</v>
      </c>
      <c r="L8" s="58" t="str">
        <f t="shared" si="4"/>
        <v>3.45</v>
      </c>
      <c r="M8" s="58" t="str">
        <f t="shared" si="4"/>
        <v>3.3</v>
      </c>
    </row>
    <row r="9" ht="18.75" customHeight="1">
      <c r="A9" s="58" t="s">
        <v>148</v>
      </c>
      <c r="B9" s="62">
        <v>1.0</v>
      </c>
      <c r="C9" s="62">
        <v>1.0</v>
      </c>
      <c r="D9" s="62">
        <v>1.0</v>
      </c>
      <c r="E9" s="62">
        <v>1.0</v>
      </c>
      <c r="F9" s="62">
        <v>1.0</v>
      </c>
      <c r="G9" s="60"/>
      <c r="H9" s="65"/>
      <c r="I9" s="60"/>
      <c r="J9" s="60"/>
      <c r="K9" s="60"/>
      <c r="L9" s="60"/>
      <c r="M9" s="60"/>
    </row>
    <row r="10" ht="18.75" customHeight="1">
      <c r="A10" s="58" t="s">
        <v>150</v>
      </c>
      <c r="B10" s="64">
        <v>0.2</v>
      </c>
      <c r="C10" s="64">
        <v>0.2</v>
      </c>
      <c r="D10" s="64">
        <v>0.2</v>
      </c>
      <c r="E10" s="64">
        <v>0.2</v>
      </c>
      <c r="F10" s="64">
        <v>0.2</v>
      </c>
      <c r="G10" s="60"/>
      <c r="H10" s="65" t="s">
        <v>158</v>
      </c>
      <c r="I10" s="65" t="str">
        <f>AVERAGE(I8:M8)</f>
        <v>3.24</v>
      </c>
      <c r="J10" s="60"/>
      <c r="K10" s="60"/>
      <c r="L10" s="60"/>
      <c r="M10" s="60"/>
    </row>
    <row r="11" ht="18.75" customHeight="1">
      <c r="A11" s="58" t="s">
        <v>152</v>
      </c>
      <c r="B11" s="67" t="str">
        <f>B10*B9</f>
        <v>0.2</v>
      </c>
      <c r="C11" s="67">
        <v>0.2</v>
      </c>
      <c r="D11" s="67">
        <v>0.2</v>
      </c>
      <c r="E11" s="67">
        <v>0.2</v>
      </c>
      <c r="F11" s="67">
        <v>0.2</v>
      </c>
      <c r="G11" s="60"/>
      <c r="H11" s="60"/>
      <c r="I11" s="60"/>
      <c r="J11" s="60"/>
      <c r="K11" s="60"/>
      <c r="L11" s="60"/>
      <c r="M11" s="60"/>
    </row>
    <row r="12" ht="18.75" customHeight="1">
      <c r="A12" s="65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</row>
    <row r="13" ht="18.75" customHeight="1">
      <c r="A13" s="58" t="s">
        <v>159</v>
      </c>
      <c r="B13" s="59">
        <v>2021.0</v>
      </c>
      <c r="C13" s="59">
        <v>2020.0</v>
      </c>
      <c r="D13" s="59">
        <v>2019.0</v>
      </c>
      <c r="E13" s="59">
        <v>2018.0</v>
      </c>
      <c r="F13" s="59">
        <v>2017.0</v>
      </c>
      <c r="G13" s="60"/>
      <c r="H13" s="60"/>
      <c r="I13" s="60"/>
      <c r="J13" s="60"/>
      <c r="K13" s="60"/>
      <c r="L13" s="60"/>
      <c r="M13" s="60"/>
    </row>
    <row r="14" ht="18.75" customHeight="1">
      <c r="A14" s="58"/>
      <c r="B14" s="61">
        <v>2.1632</v>
      </c>
      <c r="C14" s="61">
        <v>1.8622</v>
      </c>
      <c r="D14" s="61">
        <v>2.5984</v>
      </c>
      <c r="E14" s="61">
        <v>3.665</v>
      </c>
      <c r="F14" s="61">
        <v>2.9187</v>
      </c>
      <c r="G14" s="60"/>
      <c r="H14" s="60"/>
      <c r="I14" s="60"/>
      <c r="J14" s="60"/>
      <c r="K14" s="60"/>
      <c r="L14" s="60"/>
      <c r="M14" s="60"/>
    </row>
    <row r="15" ht="18.75" customHeight="1">
      <c r="A15" s="58" t="s">
        <v>148</v>
      </c>
      <c r="B15" s="62">
        <v>5.0</v>
      </c>
      <c r="C15" s="62">
        <v>5.0</v>
      </c>
      <c r="D15" s="62">
        <v>5.0</v>
      </c>
      <c r="E15" s="62">
        <v>5.0</v>
      </c>
      <c r="F15" s="62">
        <v>5.0</v>
      </c>
      <c r="G15" s="60"/>
      <c r="H15" s="60"/>
      <c r="I15" s="60"/>
      <c r="J15" s="60"/>
      <c r="K15" s="60"/>
      <c r="L15" s="60"/>
      <c r="M15" s="60"/>
    </row>
    <row r="16" ht="18.75" customHeight="1">
      <c r="A16" s="58" t="s">
        <v>150</v>
      </c>
      <c r="B16" s="64">
        <v>0.25</v>
      </c>
      <c r="C16" s="64">
        <v>0.25</v>
      </c>
      <c r="D16" s="64">
        <v>0.25</v>
      </c>
      <c r="E16" s="64">
        <v>0.25</v>
      </c>
      <c r="F16" s="64">
        <v>0.25</v>
      </c>
      <c r="G16" s="60"/>
      <c r="H16" s="60"/>
      <c r="I16" s="60"/>
      <c r="J16" s="60"/>
      <c r="K16" s="60"/>
      <c r="L16" s="60"/>
      <c r="M16" s="60"/>
    </row>
    <row r="17" ht="18.75" customHeight="1">
      <c r="A17" s="58" t="s">
        <v>152</v>
      </c>
      <c r="B17" s="58">
        <v>1.25</v>
      </c>
      <c r="C17" s="58">
        <v>1.25</v>
      </c>
      <c r="D17" s="58">
        <v>1.25</v>
      </c>
      <c r="E17" s="58">
        <v>1.25</v>
      </c>
      <c r="F17" s="58">
        <v>1.25</v>
      </c>
      <c r="G17" s="60"/>
      <c r="H17" s="60"/>
      <c r="I17" s="60"/>
      <c r="J17" s="60"/>
      <c r="K17" s="60"/>
      <c r="L17" s="60"/>
      <c r="M17" s="60"/>
    </row>
    <row r="18" ht="18.75" customHeight="1">
      <c r="A18" s="65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</row>
    <row r="19" ht="18.75" customHeight="1">
      <c r="A19" s="58" t="s">
        <v>160</v>
      </c>
      <c r="B19" s="59">
        <v>2021.0</v>
      </c>
      <c r="C19" s="59">
        <v>2020.0</v>
      </c>
      <c r="D19" s="59">
        <v>2019.0</v>
      </c>
      <c r="E19" s="59">
        <v>2018.0</v>
      </c>
      <c r="F19" s="59">
        <v>2017.0</v>
      </c>
      <c r="G19" s="60"/>
      <c r="H19" s="60"/>
      <c r="I19" s="60"/>
      <c r="J19" s="60"/>
      <c r="K19" s="60"/>
      <c r="L19" s="60"/>
      <c r="M19" s="60"/>
    </row>
    <row r="20" ht="18.75" customHeight="1">
      <c r="A20" s="58" t="s">
        <v>161</v>
      </c>
      <c r="B20" s="61">
        <v>0.0077</v>
      </c>
      <c r="C20" s="61">
        <v>0.0109</v>
      </c>
      <c r="D20" s="61">
        <v>0.0084</v>
      </c>
      <c r="E20" s="61">
        <v>0.0063</v>
      </c>
      <c r="F20" s="61">
        <v>0.0077</v>
      </c>
      <c r="G20" s="60"/>
      <c r="H20" s="60"/>
      <c r="I20" s="60"/>
      <c r="J20" s="60"/>
      <c r="K20" s="60"/>
      <c r="L20" s="60"/>
      <c r="M20" s="60"/>
    </row>
    <row r="21" ht="18.75" customHeight="1">
      <c r="A21" s="58" t="s">
        <v>148</v>
      </c>
      <c r="B21" s="62">
        <v>4.0</v>
      </c>
      <c r="C21" s="62">
        <v>3.0</v>
      </c>
      <c r="D21" s="62">
        <v>4.0</v>
      </c>
      <c r="E21" s="62">
        <v>5.0</v>
      </c>
      <c r="F21" s="62">
        <v>4.0</v>
      </c>
      <c r="G21" s="60"/>
      <c r="H21" s="60"/>
      <c r="I21" s="60"/>
      <c r="J21" s="60"/>
      <c r="K21" s="60"/>
      <c r="L21" s="60"/>
      <c r="M21" s="60"/>
    </row>
    <row r="22" ht="18.75" customHeight="1">
      <c r="A22" s="58" t="s">
        <v>150</v>
      </c>
      <c r="B22" s="64">
        <v>0.15</v>
      </c>
      <c r="C22" s="64">
        <v>0.15</v>
      </c>
      <c r="D22" s="64">
        <v>0.15</v>
      </c>
      <c r="E22" s="64">
        <v>0.15</v>
      </c>
      <c r="F22" s="64">
        <v>0.15</v>
      </c>
      <c r="G22" s="60"/>
      <c r="H22" s="60"/>
      <c r="I22" s="60"/>
      <c r="J22" s="60"/>
      <c r="K22" s="60"/>
      <c r="L22" s="60"/>
      <c r="M22" s="60"/>
    </row>
    <row r="23" ht="18.75" customHeight="1">
      <c r="A23" s="58" t="s">
        <v>152</v>
      </c>
      <c r="B23" s="58">
        <v>0.6</v>
      </c>
      <c r="C23" s="58">
        <v>0.45</v>
      </c>
      <c r="D23" s="58">
        <v>0.6</v>
      </c>
      <c r="E23" s="58">
        <v>0.75</v>
      </c>
      <c r="F23" s="58">
        <v>0.6</v>
      </c>
      <c r="G23" s="60"/>
      <c r="H23" s="60"/>
      <c r="I23" s="60"/>
      <c r="J23" s="60"/>
      <c r="K23" s="60"/>
      <c r="L23" s="60"/>
      <c r="M23" s="60"/>
    </row>
    <row r="24" ht="18.75" customHeight="1">
      <c r="A24" s="58" t="s">
        <v>162</v>
      </c>
      <c r="B24" s="61">
        <v>0.1734</v>
      </c>
      <c r="C24" s="61">
        <v>0.1986</v>
      </c>
      <c r="D24" s="61">
        <v>0.1655</v>
      </c>
      <c r="E24" s="61">
        <v>0.1319</v>
      </c>
      <c r="F24" s="61">
        <v>0.1574</v>
      </c>
      <c r="G24" s="60"/>
      <c r="H24" s="60"/>
      <c r="I24" s="60"/>
      <c r="J24" s="60"/>
      <c r="K24" s="60"/>
      <c r="L24" s="60"/>
      <c r="M24" s="60"/>
    </row>
    <row r="25" ht="18.75" customHeight="1">
      <c r="A25" s="58" t="s">
        <v>148</v>
      </c>
      <c r="B25" s="62">
        <v>2.0</v>
      </c>
      <c r="C25" s="62">
        <v>2.0</v>
      </c>
      <c r="D25" s="62">
        <v>3.0</v>
      </c>
      <c r="E25" s="62">
        <v>3.0</v>
      </c>
      <c r="F25" s="62">
        <v>3.0</v>
      </c>
      <c r="G25" s="60"/>
      <c r="H25" s="60"/>
      <c r="I25" s="60"/>
      <c r="J25" s="60"/>
      <c r="K25" s="60"/>
      <c r="L25" s="60"/>
      <c r="M25" s="60"/>
    </row>
    <row r="26" ht="18.75" customHeight="1">
      <c r="A26" s="58" t="s">
        <v>150</v>
      </c>
      <c r="B26" s="64">
        <v>0.15</v>
      </c>
      <c r="C26" s="64">
        <v>0.15</v>
      </c>
      <c r="D26" s="64">
        <v>0.15</v>
      </c>
      <c r="E26" s="64">
        <v>0.15</v>
      </c>
      <c r="F26" s="64">
        <v>0.15</v>
      </c>
      <c r="G26" s="60"/>
      <c r="H26" s="60"/>
      <c r="I26" s="60"/>
      <c r="J26" s="60"/>
      <c r="K26" s="60"/>
      <c r="L26" s="60"/>
      <c r="M26" s="60"/>
    </row>
    <row r="27" ht="18.75" customHeight="1">
      <c r="A27" s="58" t="s">
        <v>152</v>
      </c>
      <c r="B27" s="58">
        <v>0.3</v>
      </c>
      <c r="C27" s="58">
        <v>0.3</v>
      </c>
      <c r="D27" s="58">
        <v>0.45</v>
      </c>
      <c r="E27" s="58">
        <v>0.45</v>
      </c>
      <c r="F27" s="58">
        <v>0.45</v>
      </c>
      <c r="G27" s="60"/>
      <c r="H27" s="60"/>
      <c r="I27" s="60"/>
      <c r="J27" s="60"/>
      <c r="K27" s="60"/>
      <c r="L27" s="60"/>
      <c r="M27" s="60"/>
    </row>
    <row r="28" ht="18.75" customHeight="1">
      <c r="A28" s="65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</row>
    <row r="29" ht="18.75" customHeight="1">
      <c r="A29" s="58" t="s">
        <v>163</v>
      </c>
      <c r="B29" s="59">
        <v>2021.0</v>
      </c>
      <c r="C29" s="59">
        <v>2020.0</v>
      </c>
      <c r="D29" s="59">
        <v>2019.0</v>
      </c>
      <c r="E29" s="59">
        <v>2018.0</v>
      </c>
      <c r="F29" s="59">
        <v>2017.0</v>
      </c>
      <c r="G29" s="60"/>
      <c r="H29" s="60"/>
      <c r="I29" s="60"/>
      <c r="J29" s="60"/>
      <c r="K29" s="60"/>
      <c r="L29" s="60"/>
      <c r="M29" s="60"/>
    </row>
    <row r="30" ht="18.75" customHeight="1">
      <c r="A30" s="58" t="s">
        <v>164</v>
      </c>
      <c r="B30" s="61">
        <v>0.4703</v>
      </c>
      <c r="C30" s="61">
        <v>0.4997</v>
      </c>
      <c r="D30" s="61">
        <v>0.549</v>
      </c>
      <c r="E30" s="61">
        <v>0.5981</v>
      </c>
      <c r="F30" s="61">
        <v>0.492</v>
      </c>
      <c r="G30" s="60"/>
      <c r="H30" s="60"/>
      <c r="I30" s="60"/>
      <c r="J30" s="60"/>
      <c r="K30" s="60"/>
      <c r="L30" s="60"/>
      <c r="M30" s="60"/>
    </row>
    <row r="31" ht="18.75" customHeight="1">
      <c r="A31" s="58" t="s">
        <v>148</v>
      </c>
      <c r="B31" s="62">
        <v>1.0</v>
      </c>
      <c r="C31" s="62">
        <v>1.0</v>
      </c>
      <c r="D31" s="62">
        <v>1.0</v>
      </c>
      <c r="E31" s="62">
        <v>1.0</v>
      </c>
      <c r="F31" s="62">
        <v>1.0</v>
      </c>
      <c r="G31" s="60"/>
      <c r="H31" s="60"/>
      <c r="I31" s="60"/>
      <c r="J31" s="60"/>
      <c r="K31" s="60"/>
      <c r="L31" s="60"/>
      <c r="M31" s="60"/>
    </row>
    <row r="32" ht="18.75" customHeight="1">
      <c r="A32" s="58" t="s">
        <v>150</v>
      </c>
      <c r="B32" s="64">
        <v>0.05</v>
      </c>
      <c r="C32" s="64">
        <v>0.05</v>
      </c>
      <c r="D32" s="64">
        <v>0.05</v>
      </c>
      <c r="E32" s="64">
        <v>0.05</v>
      </c>
      <c r="F32" s="64">
        <v>0.05</v>
      </c>
      <c r="G32" s="60"/>
      <c r="H32" s="60"/>
      <c r="I32" s="60"/>
      <c r="J32" s="60"/>
      <c r="K32" s="60"/>
      <c r="L32" s="60"/>
      <c r="M32" s="60"/>
    </row>
    <row r="33" ht="18.75" customHeight="1">
      <c r="A33" s="58" t="s">
        <v>152</v>
      </c>
      <c r="B33" s="58">
        <v>0.05</v>
      </c>
      <c r="C33" s="58">
        <v>0.05</v>
      </c>
      <c r="D33" s="58">
        <v>0.05</v>
      </c>
      <c r="E33" s="58">
        <v>0.05</v>
      </c>
      <c r="F33" s="58">
        <v>0.05</v>
      </c>
      <c r="G33" s="60"/>
      <c r="H33" s="60"/>
      <c r="I33" s="60"/>
      <c r="J33" s="60"/>
      <c r="K33" s="60"/>
      <c r="L33" s="60"/>
      <c r="M33" s="60"/>
    </row>
    <row r="34" ht="18.75" customHeight="1">
      <c r="A34" s="58" t="s">
        <v>165</v>
      </c>
      <c r="B34" s="61" t="str">
        <f>477673022/1259328610</f>
        <v>37.93%</v>
      </c>
      <c r="C34" s="61" t="str">
        <f>395416055/992886661</f>
        <v>39.82%</v>
      </c>
      <c r="D34" s="61" t="str">
        <f>372913863/833433027</f>
        <v>44.74%</v>
      </c>
      <c r="E34" s="61" t="str">
        <f>343107147/706451322</f>
        <v>48.57%</v>
      </c>
      <c r="F34" s="61" t="str">
        <f>258693086/662610675</f>
        <v>39.04%</v>
      </c>
      <c r="G34" s="60"/>
      <c r="H34" s="60"/>
      <c r="I34" s="60"/>
      <c r="J34" s="60"/>
      <c r="K34" s="60"/>
      <c r="L34" s="60"/>
      <c r="M34" s="60"/>
    </row>
    <row r="35" ht="18.75" customHeight="1">
      <c r="A35" s="58" t="s">
        <v>148</v>
      </c>
      <c r="B35" s="62">
        <v>1.0</v>
      </c>
      <c r="C35" s="62">
        <v>1.0</v>
      </c>
      <c r="D35" s="62">
        <v>1.0</v>
      </c>
      <c r="E35" s="62">
        <v>1.0</v>
      </c>
      <c r="F35" s="62">
        <v>1.0</v>
      </c>
      <c r="G35" s="60"/>
      <c r="H35" s="60"/>
      <c r="I35" s="60"/>
      <c r="J35" s="60"/>
      <c r="K35" s="60"/>
      <c r="L35" s="60"/>
      <c r="M35" s="60"/>
    </row>
    <row r="36" ht="18.75" customHeight="1">
      <c r="A36" s="58" t="s">
        <v>150</v>
      </c>
      <c r="B36" s="64">
        <v>0.05</v>
      </c>
      <c r="C36" s="64">
        <v>0.05</v>
      </c>
      <c r="D36" s="64">
        <v>0.05</v>
      </c>
      <c r="E36" s="64">
        <v>0.05</v>
      </c>
      <c r="F36" s="64">
        <v>0.05</v>
      </c>
      <c r="G36" s="60"/>
      <c r="H36" s="60"/>
      <c r="I36" s="60"/>
      <c r="J36" s="60"/>
      <c r="K36" s="60"/>
      <c r="L36" s="60"/>
      <c r="M36" s="60"/>
    </row>
    <row r="37" ht="18.75" customHeight="1">
      <c r="A37" s="58" t="s">
        <v>152</v>
      </c>
      <c r="B37" s="58">
        <v>0.05</v>
      </c>
      <c r="C37" s="58">
        <v>0.05</v>
      </c>
      <c r="D37" s="58">
        <v>0.05</v>
      </c>
      <c r="E37" s="58">
        <v>0.05</v>
      </c>
      <c r="F37" s="58">
        <v>0.05</v>
      </c>
      <c r="G37" s="60"/>
      <c r="H37" s="60"/>
      <c r="I37" s="60"/>
      <c r="J37" s="60"/>
      <c r="K37" s="60"/>
      <c r="L37" s="60"/>
      <c r="M37" s="60"/>
    </row>
    <row r="38" ht="18.75" customHeight="1">
      <c r="A38" s="65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</row>
    <row r="39" ht="18.75" customHeight="1">
      <c r="A39" s="58" t="s">
        <v>166</v>
      </c>
      <c r="B39" s="59">
        <v>2021.0</v>
      </c>
      <c r="C39" s="59">
        <v>2020.0</v>
      </c>
      <c r="D39" s="59">
        <v>2019.0</v>
      </c>
      <c r="E39" s="59">
        <v>2018.0</v>
      </c>
      <c r="F39" s="59">
        <v>2017.0</v>
      </c>
      <c r="G39" s="60"/>
      <c r="H39" s="60"/>
      <c r="I39" s="60"/>
      <c r="J39" s="60"/>
      <c r="K39" s="60"/>
      <c r="L39" s="60"/>
      <c r="M39" s="60"/>
    </row>
    <row r="40" ht="18.75" customHeight="1">
      <c r="A40" s="58"/>
      <c r="B40" s="61">
        <v>0.4881</v>
      </c>
      <c r="C40" s="61">
        <v>0.4514</v>
      </c>
      <c r="D40" s="61">
        <v>0.3649</v>
      </c>
      <c r="E40" s="61">
        <v>0.3669</v>
      </c>
      <c r="F40" s="61">
        <v>0.472</v>
      </c>
      <c r="G40" s="60"/>
      <c r="H40" s="60"/>
      <c r="I40" s="60"/>
      <c r="J40" s="60"/>
      <c r="K40" s="60"/>
      <c r="L40" s="60"/>
      <c r="M40" s="60"/>
    </row>
    <row r="41" ht="18.75" customHeight="1">
      <c r="A41" s="58" t="s">
        <v>148</v>
      </c>
      <c r="B41" s="62">
        <v>5.0</v>
      </c>
      <c r="C41" s="62">
        <v>5.0</v>
      </c>
      <c r="D41" s="62">
        <v>5.0</v>
      </c>
      <c r="E41" s="62">
        <v>5.0</v>
      </c>
      <c r="F41" s="62">
        <v>5.0</v>
      </c>
      <c r="G41" s="60"/>
      <c r="H41" s="60"/>
      <c r="I41" s="60"/>
      <c r="J41" s="60"/>
      <c r="K41" s="60"/>
      <c r="L41" s="60"/>
      <c r="M41" s="60"/>
    </row>
    <row r="42" ht="18.75" customHeight="1">
      <c r="A42" s="58" t="s">
        <v>150</v>
      </c>
      <c r="B42" s="64">
        <v>0.1</v>
      </c>
      <c r="C42" s="64">
        <v>0.1</v>
      </c>
      <c r="D42" s="64">
        <v>0.1</v>
      </c>
      <c r="E42" s="64">
        <v>0.1</v>
      </c>
      <c r="F42" s="64">
        <v>0.1</v>
      </c>
      <c r="G42" s="60"/>
      <c r="H42" s="60"/>
      <c r="I42" s="60"/>
      <c r="J42" s="60"/>
      <c r="K42" s="60"/>
      <c r="L42" s="60"/>
      <c r="M42" s="60"/>
    </row>
    <row r="43" ht="18.75" customHeight="1">
      <c r="A43" s="58" t="s">
        <v>152</v>
      </c>
      <c r="B43" s="58">
        <v>0.5</v>
      </c>
      <c r="C43" s="58">
        <v>0.5</v>
      </c>
      <c r="D43" s="58">
        <v>0.5</v>
      </c>
      <c r="E43" s="58">
        <v>0.5</v>
      </c>
      <c r="F43" s="58">
        <v>0.5</v>
      </c>
      <c r="G43" s="60"/>
      <c r="H43" s="60"/>
      <c r="I43" s="60"/>
      <c r="J43" s="60"/>
      <c r="K43" s="60"/>
      <c r="L43" s="60"/>
      <c r="M43" s="60"/>
    </row>
    <row r="44" ht="18.75" customHeight="1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</row>
    <row r="45" ht="18.75" customHeight="1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</row>
    <row r="46" ht="18.75" customHeight="1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</row>
    <row r="47" ht="18.75" customHeight="1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</row>
    <row r="48" ht="18.75" customHeight="1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</row>
    <row r="49" ht="18.75" customHeight="1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</row>
    <row r="50" ht="18.75" customHeight="1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</row>
    <row r="51" ht="18.75" customHeight="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</row>
    <row r="52" ht="18.75" customHeight="1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</row>
    <row r="53" ht="18.75" customHeight="1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</row>
    <row r="54" ht="18.75" customHeight="1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</row>
    <row r="55" ht="18.75" customHeight="1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</row>
    <row r="56" ht="18.75" customHeight="1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</row>
    <row r="57" ht="18.75" customHeight="1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</row>
    <row r="58" ht="18.75" customHeight="1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</row>
    <row r="59" ht="18.75" customHeight="1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</row>
    <row r="60" ht="18.75" customHeight="1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</row>
    <row r="61" ht="18.75" customHeight="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</row>
    <row r="62" ht="18.75" customHeight="1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</row>
    <row r="63" ht="18.75" customHeight="1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</row>
    <row r="64" ht="18.75" customHeight="1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</row>
    <row r="65" ht="18.75" customHeight="1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</row>
    <row r="66" ht="18.75" customHeight="1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</row>
    <row r="67" ht="18.75" customHeight="1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</row>
    <row r="68" ht="18.75" customHeight="1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</row>
    <row r="69" ht="18.75" customHeight="1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</row>
    <row r="70" ht="18.75" customHeight="1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</row>
    <row r="71" ht="18.75" customHeight="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</row>
    <row r="72" ht="18.75" customHeight="1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</row>
    <row r="73" ht="18.75" customHeight="1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</row>
    <row r="74" ht="18.75" customHeight="1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</row>
    <row r="75" ht="18.75" customHeight="1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</row>
    <row r="76" ht="18.75" customHeight="1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</row>
    <row r="77" ht="18.75" customHeight="1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</row>
    <row r="78" ht="18.75" customHeight="1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</row>
    <row r="79" ht="18.75" customHeight="1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</row>
    <row r="80" ht="18.75" customHeight="1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</row>
    <row r="81" ht="18.75" customHeight="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</row>
    <row r="82" ht="18.75" customHeight="1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</row>
    <row r="83" ht="18.75" customHeight="1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</row>
    <row r="84" ht="18.75" customHeight="1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</row>
    <row r="85" ht="18.75" customHeight="1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</row>
    <row r="86" ht="18.75" customHeight="1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</row>
    <row r="87" ht="18.75" customHeight="1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</row>
    <row r="88" ht="18.75" customHeight="1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</row>
    <row r="89" ht="18.75" customHeight="1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</row>
    <row r="90" ht="18.75" customHeight="1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</row>
    <row r="91" ht="18.75" customHeight="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</row>
    <row r="92" ht="18.75" customHeight="1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</row>
    <row r="93" ht="18.75" customHeight="1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</row>
    <row r="94" ht="18.75" customHeight="1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</row>
    <row r="95" ht="18.75" customHeight="1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</row>
    <row r="96" ht="18.75" customHeight="1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</row>
    <row r="97" ht="18.75" customHeight="1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</row>
    <row r="98" ht="18.75" customHeight="1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</row>
    <row r="99" ht="18.75" customHeight="1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</row>
    <row r="100" ht="18.75" customHeight="1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</row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7.14"/>
    <col customWidth="1" min="2" max="2" width="16.71"/>
    <col customWidth="1" min="3" max="6" width="15.71"/>
    <col customWidth="1" min="7" max="12" width="8.71"/>
  </cols>
  <sheetData>
    <row r="1">
      <c r="A1" t="s">
        <v>89</v>
      </c>
      <c r="B1">
        <v>2021.0</v>
      </c>
      <c r="C1">
        <v>2020.0</v>
      </c>
      <c r="D1">
        <v>2019.0</v>
      </c>
      <c r="E1">
        <v>2018.0</v>
      </c>
      <c r="F1">
        <v>2017.0</v>
      </c>
    </row>
    <row r="2">
      <c r="A2" t="s">
        <v>90</v>
      </c>
    </row>
    <row r="3">
      <c r="A3" t="s">
        <v>91</v>
      </c>
      <c r="B3" s="51">
        <v>2.0145322434150774</v>
      </c>
      <c r="C3" s="51">
        <v>1.8503634031637453</v>
      </c>
      <c r="D3" s="51">
        <v>1.808522114347357</v>
      </c>
      <c r="E3" s="51">
        <v>1.1116220735785953</v>
      </c>
      <c r="F3" s="51">
        <v>1.332988089073019</v>
      </c>
    </row>
    <row r="4" hidden="1">
      <c r="A4" t="s">
        <v>92</v>
      </c>
      <c r="B4" s="51">
        <v>22.02</v>
      </c>
      <c r="C4" s="51">
        <v>23.39</v>
      </c>
      <c r="D4" s="51">
        <v>18.54</v>
      </c>
      <c r="E4" s="51">
        <v>23.92</v>
      </c>
      <c r="F4" s="51">
        <v>19.31</v>
      </c>
    </row>
    <row r="5" hidden="1">
      <c r="A5" t="s">
        <v>93</v>
      </c>
      <c r="B5" s="51">
        <v>1.26026018E9</v>
      </c>
      <c r="C5" s="51">
        <v>1.26026018E9</v>
      </c>
      <c r="D5" s="51">
        <v>1.26026018E9</v>
      </c>
      <c r="E5" s="51">
        <v>1.26026018E9</v>
      </c>
      <c r="F5" s="51">
        <v>1.26026018E9</v>
      </c>
    </row>
    <row r="6" hidden="1">
      <c r="A6" t="s">
        <v>94</v>
      </c>
      <c r="B6" s="51">
        <v>44.36</v>
      </c>
      <c r="C6" s="51">
        <v>43.28</v>
      </c>
      <c r="D6" s="51">
        <v>33.53</v>
      </c>
      <c r="E6" s="51">
        <v>26.59</v>
      </c>
      <c r="F6" s="51">
        <v>25.74</v>
      </c>
    </row>
    <row r="7">
      <c r="A7" t="s">
        <v>95</v>
      </c>
      <c r="B7" s="51"/>
      <c r="C7" s="51"/>
      <c r="D7" s="51"/>
      <c r="E7" s="51"/>
      <c r="F7" s="51"/>
    </row>
    <row r="8">
      <c r="A8" t="s">
        <v>96</v>
      </c>
      <c r="B8" s="51">
        <v>1.3176955341044831</v>
      </c>
      <c r="C8" s="51">
        <v>1.0580940899831748</v>
      </c>
      <c r="D8" s="51">
        <v>1.0312515352074776</v>
      </c>
      <c r="E8" s="51">
        <v>1.0721448468924104</v>
      </c>
      <c r="F8" s="51">
        <v>1.0173813192532266</v>
      </c>
    </row>
    <row r="9" hidden="1">
      <c r="A9" t="s">
        <v>97</v>
      </c>
      <c r="B9" s="51">
        <v>1.222420697E9</v>
      </c>
      <c r="C9" s="51">
        <v>9.56675071E8</v>
      </c>
      <c r="D9" s="51">
        <v>7.8664286E8</v>
      </c>
      <c r="E9" s="51">
        <v>6.67452221E8</v>
      </c>
      <c r="F9" s="51">
        <v>6.33359777E8</v>
      </c>
    </row>
    <row r="10">
      <c r="A10" t="s">
        <v>98</v>
      </c>
      <c r="B10" s="51">
        <v>9.27695864E8</v>
      </c>
      <c r="C10" s="51">
        <v>9.04149338E8</v>
      </c>
      <c r="D10" s="51">
        <v>7.62804062E8</v>
      </c>
      <c r="E10" s="51">
        <v>6.22539224E8</v>
      </c>
      <c r="F10" s="51">
        <v>6.22539224E8</v>
      </c>
    </row>
    <row r="11">
      <c r="A11" t="s">
        <v>99</v>
      </c>
      <c r="B11" s="51">
        <v>0.6015035236303832</v>
      </c>
      <c r="C11" s="51">
        <v>0.9545793383865003</v>
      </c>
      <c r="D11" s="51">
        <v>0.5738825687849851</v>
      </c>
      <c r="E11" s="51">
        <v>0.5474861355249732</v>
      </c>
      <c r="F11" s="51">
        <v>0.5479322380733475</v>
      </c>
    </row>
    <row r="12" hidden="1">
      <c r="A12" t="s">
        <v>101</v>
      </c>
      <c r="B12" s="51">
        <v>6.10784723E11</v>
      </c>
      <c r="C12" s="51">
        <v>7.55250763E11</v>
      </c>
      <c r="D12" s="51">
        <v>3.89838134E11</v>
      </c>
      <c r="E12" s="51">
        <v>3.14057678E11</v>
      </c>
      <c r="F12" s="51">
        <v>2.88107323E11</v>
      </c>
    </row>
    <row r="13" hidden="1">
      <c r="A13" t="s">
        <v>102</v>
      </c>
      <c r="B13" s="51">
        <v>1.01543E12</v>
      </c>
      <c r="C13" s="51">
        <v>7.91187E11</v>
      </c>
      <c r="D13" s="51">
        <v>6.79299486E11</v>
      </c>
      <c r="E13" s="51">
        <v>5.73635856E11</v>
      </c>
      <c r="F13" s="51">
        <v>5.25808308E11</v>
      </c>
    </row>
    <row r="14">
      <c r="A14" t="s">
        <v>103</v>
      </c>
      <c r="B14" s="51">
        <v>2.8597402597402595</v>
      </c>
      <c r="C14" s="51">
        <v>2.7292882147024504</v>
      </c>
      <c r="D14" s="51">
        <v>3.328545780969479</v>
      </c>
      <c r="E14" s="51">
        <v>6.795454545454546</v>
      </c>
      <c r="F14" s="51">
        <v>4.619617224880383</v>
      </c>
    </row>
    <row r="15" hidden="1">
      <c r="A15" t="s">
        <v>104</v>
      </c>
      <c r="B15">
        <v>22.02</v>
      </c>
      <c r="C15">
        <v>23.39</v>
      </c>
      <c r="D15">
        <v>18.54</v>
      </c>
      <c r="E15">
        <v>23.92</v>
      </c>
      <c r="F15">
        <v>19.31</v>
      </c>
    </row>
    <row r="16" hidden="1">
      <c r="A16" t="s">
        <v>105</v>
      </c>
      <c r="B16">
        <v>7.7</v>
      </c>
      <c r="C16">
        <v>8.57</v>
      </c>
      <c r="D16">
        <v>5.57</v>
      </c>
      <c r="E16">
        <v>3.52</v>
      </c>
      <c r="F16">
        <v>4.18</v>
      </c>
    </row>
    <row r="21" ht="15.75" customHeight="1"/>
    <row r="22" ht="15.75" customHeight="1"/>
    <row r="23" ht="15.75" customHeight="1">
      <c r="L23" s="6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Balance Sheet</vt:lpstr>
      <vt:lpstr>Income Statement</vt:lpstr>
      <vt:lpstr>Profitability Ratio</vt:lpstr>
      <vt:lpstr>Risk Ratios</vt:lpstr>
      <vt:lpstr>CAMELS</vt:lpstr>
      <vt:lpstr>Sheet2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1234</cp:lastModifiedBy>
  <dcterms:modified xsi:type="dcterms:W3CDTF">2022-04-13T00:27:55Z</dcterms:modified>
</cp:coreProperties>
</file>