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xr:revisionPtr revIDLastSave="0" documentId="8_{7B1339FE-B5A0-6248-B290-46DB0E33575E}" xr6:coauthVersionLast="47" xr6:coauthVersionMax="47" xr10:uidLastSave="{00000000-0000-0000-0000-000000000000}"/>
  <bookViews>
    <workbookView xWindow="-120" yWindow="-120" windowWidth="20730" windowHeight="11160" tabRatio="690" firstSheet="2" activeTab="4" xr2:uid="{00000000-000D-0000-FFFF-FFFF00000000}"/>
  </bookViews>
  <sheets>
    <sheet name="Income statements Consolidated" sheetId="3" r:id="rId1"/>
    <sheet name="Balance Sheet Consolidated" sheetId="4" r:id="rId2"/>
    <sheet name="Profitability Ratios" sheetId="5" r:id="rId3"/>
    <sheet name="RIsk Measures Ratio" sheetId="6" r:id="rId4"/>
    <sheet name="C.A.M.E.L.S" sheetId="7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9" i="7" l="1"/>
  <c r="Q9" i="7"/>
  <c r="P9" i="7"/>
  <c r="Q56" i="6"/>
  <c r="Q49" i="6"/>
  <c r="Q54" i="6"/>
  <c r="Q55" i="6"/>
  <c r="P5" i="7"/>
  <c r="P11" i="7"/>
  <c r="O9" i="7"/>
  <c r="P56" i="6"/>
  <c r="P49" i="6"/>
  <c r="P54" i="6"/>
  <c r="P55" i="6"/>
  <c r="O5" i="7"/>
  <c r="O11" i="7"/>
  <c r="R56" i="6"/>
  <c r="R49" i="6"/>
  <c r="R54" i="6"/>
  <c r="R55" i="6"/>
  <c r="Q5" i="7"/>
  <c r="Q11" i="7"/>
  <c r="S56" i="6"/>
  <c r="S49" i="6"/>
  <c r="S54" i="6"/>
  <c r="S55" i="6"/>
  <c r="R5" i="7"/>
  <c r="R11" i="7"/>
  <c r="O56" i="6"/>
  <c r="O49" i="6"/>
  <c r="O54" i="6"/>
  <c r="O55" i="6"/>
  <c r="N5" i="7"/>
  <c r="N9" i="7"/>
  <c r="N11" i="7"/>
  <c r="H24" i="7"/>
  <c r="H34" i="7"/>
  <c r="H43" i="7"/>
  <c r="H52" i="7"/>
  <c r="H59" i="7"/>
  <c r="H69" i="7"/>
  <c r="H78" i="7"/>
  <c r="H81" i="7"/>
  <c r="I24" i="7"/>
  <c r="I34" i="7"/>
  <c r="I43" i="7"/>
  <c r="I52" i="7"/>
  <c r="I59" i="7"/>
  <c r="I69" i="7"/>
  <c r="I78" i="7"/>
  <c r="I81" i="7"/>
  <c r="J24" i="7"/>
  <c r="J34" i="7"/>
  <c r="J43" i="7"/>
  <c r="J52" i="7"/>
  <c r="J59" i="7"/>
  <c r="J69" i="7"/>
  <c r="J78" i="7"/>
  <c r="J81" i="7"/>
  <c r="K24" i="7"/>
  <c r="K34" i="7"/>
  <c r="K43" i="7"/>
  <c r="K52" i="7"/>
  <c r="K59" i="7"/>
  <c r="K69" i="7"/>
  <c r="K78" i="7"/>
  <c r="K81" i="7"/>
  <c r="G24" i="7"/>
  <c r="G34" i="7"/>
  <c r="G43" i="7"/>
  <c r="G52" i="7"/>
  <c r="G59" i="7"/>
  <c r="G69" i="7"/>
  <c r="G78" i="7"/>
  <c r="G81" i="7"/>
  <c r="G8" i="5"/>
  <c r="O4" i="6"/>
  <c r="G73" i="7"/>
  <c r="H38" i="7"/>
  <c r="I38" i="7"/>
  <c r="J38" i="7"/>
  <c r="K38" i="7"/>
  <c r="G38" i="7"/>
  <c r="P40" i="6"/>
  <c r="H64" i="7"/>
  <c r="Q40" i="6"/>
  <c r="I64" i="7"/>
  <c r="R40" i="6"/>
  <c r="J64" i="7"/>
  <c r="S40" i="6"/>
  <c r="K64" i="7"/>
  <c r="O40" i="6"/>
  <c r="G64" i="7"/>
  <c r="H5" i="5"/>
  <c r="H8" i="5"/>
  <c r="H22" i="5"/>
  <c r="H54" i="7"/>
  <c r="I5" i="5"/>
  <c r="I8" i="5"/>
  <c r="I22" i="5"/>
  <c r="I54" i="7"/>
  <c r="J5" i="5"/>
  <c r="J8" i="5"/>
  <c r="J22" i="5"/>
  <c r="J54" i="7"/>
  <c r="K5" i="5"/>
  <c r="K8" i="5"/>
  <c r="K22" i="5"/>
  <c r="K54" i="7"/>
  <c r="G5" i="5"/>
  <c r="G22" i="5"/>
  <c r="G54" i="7"/>
  <c r="E37" i="4"/>
  <c r="H3" i="5"/>
  <c r="H21" i="5"/>
  <c r="H47" i="7"/>
  <c r="F37" i="4"/>
  <c r="I3" i="5"/>
  <c r="I21" i="5"/>
  <c r="I47" i="7"/>
  <c r="G37" i="4"/>
  <c r="J3" i="5"/>
  <c r="J21" i="5"/>
  <c r="J47" i="7"/>
  <c r="H37" i="4"/>
  <c r="K3" i="5"/>
  <c r="K21" i="5"/>
  <c r="K47" i="7"/>
  <c r="D37" i="4"/>
  <c r="G3" i="5"/>
  <c r="G21" i="5"/>
  <c r="G47" i="7"/>
  <c r="H29" i="7"/>
  <c r="I29" i="7"/>
  <c r="J29" i="7"/>
  <c r="K29" i="7"/>
  <c r="G29" i="7"/>
  <c r="K19" i="7"/>
  <c r="J19" i="7"/>
  <c r="I19" i="7"/>
  <c r="H19" i="7"/>
  <c r="G19" i="7"/>
  <c r="S4" i="6"/>
  <c r="K73" i="7"/>
  <c r="R4" i="6"/>
  <c r="J73" i="7"/>
  <c r="Q4" i="6"/>
  <c r="I73" i="7"/>
  <c r="P4" i="6"/>
  <c r="H73" i="7"/>
  <c r="P24" i="6"/>
  <c r="G22" i="6"/>
  <c r="Q24" i="6"/>
  <c r="H22" i="6"/>
  <c r="R24" i="6"/>
  <c r="I22" i="6"/>
  <c r="S24" i="6"/>
  <c r="J22" i="6"/>
  <c r="O24" i="6"/>
  <c r="F22" i="6"/>
  <c r="P60" i="6"/>
  <c r="Q60" i="6"/>
  <c r="R60" i="6"/>
  <c r="S60" i="6"/>
  <c r="O60" i="6"/>
  <c r="P59" i="6"/>
  <c r="Q59" i="6"/>
  <c r="R59" i="6"/>
  <c r="S59" i="6"/>
  <c r="O59" i="6"/>
  <c r="P50" i="6"/>
  <c r="Q50" i="6"/>
  <c r="R50" i="6"/>
  <c r="S50" i="6"/>
  <c r="O50" i="6"/>
  <c r="G13" i="6"/>
  <c r="H13" i="6"/>
  <c r="I13" i="6"/>
  <c r="J13" i="6"/>
  <c r="F13" i="6"/>
  <c r="P46" i="6"/>
  <c r="Q46" i="6"/>
  <c r="Q7" i="6"/>
  <c r="R46" i="6"/>
  <c r="R7" i="6"/>
  <c r="S46" i="6"/>
  <c r="S7" i="6"/>
  <c r="O46" i="6"/>
  <c r="O7" i="6"/>
  <c r="P30" i="6"/>
  <c r="P10" i="6"/>
  <c r="Q30" i="6"/>
  <c r="Q10" i="6"/>
  <c r="R30" i="6"/>
  <c r="R10" i="6"/>
  <c r="S30" i="6"/>
  <c r="S10" i="6"/>
  <c r="O30" i="6"/>
  <c r="O10" i="6"/>
  <c r="P6" i="6"/>
  <c r="Q6" i="6"/>
  <c r="R6" i="6"/>
  <c r="S6" i="6"/>
  <c r="O6" i="6"/>
  <c r="P38" i="6"/>
  <c r="Q38" i="6"/>
  <c r="R38" i="6"/>
  <c r="S38" i="6"/>
  <c r="P39" i="6"/>
  <c r="Q39" i="6"/>
  <c r="R39" i="6"/>
  <c r="S39" i="6"/>
  <c r="O39" i="6"/>
  <c r="O38" i="6"/>
  <c r="P9" i="6"/>
  <c r="Q9" i="6"/>
  <c r="R9" i="6"/>
  <c r="S9" i="6"/>
  <c r="O9" i="6"/>
  <c r="P35" i="6"/>
  <c r="Q35" i="6"/>
  <c r="R35" i="6"/>
  <c r="S35" i="6"/>
  <c r="O35" i="6"/>
  <c r="O51" i="6"/>
  <c r="O8" i="6"/>
  <c r="O17" i="6"/>
  <c r="P8" i="6"/>
  <c r="P17" i="6"/>
  <c r="Q51" i="6"/>
  <c r="S62" i="6"/>
  <c r="J40" i="6"/>
  <c r="S8" i="6"/>
  <c r="S17" i="6"/>
  <c r="R8" i="6"/>
  <c r="R17" i="6"/>
  <c r="Q8" i="6"/>
  <c r="Q17" i="6"/>
  <c r="I17" i="6"/>
  <c r="Q62" i="6"/>
  <c r="H40" i="6"/>
  <c r="S51" i="6"/>
  <c r="P62" i="6"/>
  <c r="G40" i="6"/>
  <c r="H17" i="6"/>
  <c r="F17" i="6"/>
  <c r="J17" i="6"/>
  <c r="O62" i="6"/>
  <c r="R62" i="6"/>
  <c r="R51" i="6"/>
  <c r="P51" i="6"/>
  <c r="J37" i="6"/>
  <c r="H37" i="6"/>
  <c r="I36" i="6"/>
  <c r="F38" i="6"/>
  <c r="G38" i="6"/>
  <c r="P7" i="6"/>
  <c r="G17" i="6"/>
  <c r="H36" i="6"/>
  <c r="I37" i="6"/>
  <c r="J38" i="6"/>
  <c r="F36" i="6"/>
  <c r="G36" i="6"/>
  <c r="I38" i="6"/>
  <c r="J36" i="6"/>
  <c r="F37" i="6"/>
  <c r="G37" i="6"/>
  <c r="H38" i="6"/>
  <c r="R41" i="6"/>
  <c r="I18" i="6"/>
  <c r="Q41" i="6"/>
  <c r="H18" i="6"/>
  <c r="P41" i="6"/>
  <c r="G18" i="6"/>
  <c r="O41" i="6"/>
  <c r="F18" i="6"/>
  <c r="S41" i="6"/>
  <c r="J18" i="6"/>
  <c r="P5" i="6"/>
  <c r="G7" i="6"/>
  <c r="Q5" i="6"/>
  <c r="H7" i="6"/>
  <c r="R5" i="6"/>
  <c r="I7" i="6"/>
  <c r="S5" i="6"/>
  <c r="J7" i="6"/>
  <c r="O5" i="6"/>
  <c r="F7" i="6"/>
  <c r="F40" i="6"/>
  <c r="I40" i="6"/>
  <c r="H16" i="5"/>
  <c r="I16" i="5"/>
  <c r="J16" i="5"/>
  <c r="K16" i="5"/>
  <c r="G16" i="5"/>
  <c r="H15" i="5"/>
  <c r="I15" i="5"/>
  <c r="J15" i="5"/>
  <c r="K15" i="5"/>
  <c r="G15" i="5"/>
  <c r="H11" i="5"/>
  <c r="I11" i="5"/>
  <c r="J11" i="5"/>
  <c r="K11" i="5"/>
  <c r="G11" i="5"/>
  <c r="G10" i="5"/>
  <c r="K4" i="5"/>
  <c r="J4" i="5"/>
  <c r="I4" i="5"/>
  <c r="H4" i="5"/>
  <c r="G4" i="5"/>
  <c r="P40" i="4"/>
  <c r="O40" i="4"/>
  <c r="M52" i="4"/>
  <c r="N52" i="4"/>
  <c r="O52" i="4"/>
  <c r="P52" i="4"/>
  <c r="L52" i="4"/>
  <c r="M48" i="4"/>
  <c r="N48" i="4"/>
  <c r="O48" i="4"/>
  <c r="P48" i="4"/>
  <c r="L48" i="4"/>
  <c r="M44" i="4"/>
  <c r="N44" i="4"/>
  <c r="O44" i="4"/>
  <c r="P44" i="4"/>
  <c r="L44" i="4"/>
  <c r="M39" i="4"/>
  <c r="N39" i="4"/>
  <c r="N38" i="4"/>
  <c r="N42" i="4"/>
  <c r="N54" i="4"/>
  <c r="I14" i="5"/>
  <c r="Q12" i="6"/>
  <c r="O39" i="4"/>
  <c r="P39" i="4"/>
  <c r="L39" i="4"/>
  <c r="M38" i="4"/>
  <c r="M42" i="4"/>
  <c r="M54" i="4"/>
  <c r="H14" i="5"/>
  <c r="P12" i="6"/>
  <c r="O38" i="4"/>
  <c r="P38" i="4"/>
  <c r="P42" i="4"/>
  <c r="L38" i="4"/>
  <c r="L42" i="4"/>
  <c r="L54" i="4"/>
  <c r="G14" i="5"/>
  <c r="O12" i="6"/>
  <c r="M21" i="4"/>
  <c r="N21" i="4"/>
  <c r="O21" i="4"/>
  <c r="P21" i="4"/>
  <c r="L21" i="4"/>
  <c r="M32" i="4"/>
  <c r="M8" i="4"/>
  <c r="M12" i="4"/>
  <c r="M23" i="4"/>
  <c r="H13" i="5"/>
  <c r="P11" i="6"/>
  <c r="N32" i="4"/>
  <c r="N8" i="4"/>
  <c r="N12" i="4"/>
  <c r="N23" i="4"/>
  <c r="I13" i="5"/>
  <c r="Q11" i="6"/>
  <c r="O32" i="4"/>
  <c r="O8" i="4"/>
  <c r="O12" i="4"/>
  <c r="O23" i="4"/>
  <c r="J13" i="5"/>
  <c r="R11" i="6"/>
  <c r="P32" i="4"/>
  <c r="P8" i="4"/>
  <c r="P12" i="4"/>
  <c r="L32" i="4"/>
  <c r="L8" i="4"/>
  <c r="L12" i="4"/>
  <c r="L23" i="4"/>
  <c r="G13" i="5"/>
  <c r="O11" i="6"/>
  <c r="P54" i="4"/>
  <c r="K14" i="5"/>
  <c r="S12" i="6"/>
  <c r="O42" i="4"/>
  <c r="O54" i="4"/>
  <c r="J14" i="5"/>
  <c r="R12" i="6"/>
  <c r="P23" i="4"/>
  <c r="K13" i="5"/>
  <c r="J41" i="5"/>
  <c r="I41" i="5"/>
  <c r="G41" i="5"/>
  <c r="H41" i="5"/>
  <c r="H10" i="5"/>
  <c r="I10" i="5"/>
  <c r="J10" i="5"/>
  <c r="K10" i="5"/>
  <c r="I42" i="3"/>
  <c r="I7" i="5"/>
  <c r="Q21" i="6"/>
  <c r="H42" i="3"/>
  <c r="H7" i="5"/>
  <c r="P21" i="6"/>
  <c r="J42" i="3"/>
  <c r="J7" i="5"/>
  <c r="R21" i="6"/>
  <c r="K42" i="3"/>
  <c r="K7" i="5"/>
  <c r="S21" i="6"/>
  <c r="G42" i="3"/>
  <c r="G7" i="5"/>
  <c r="O21" i="6"/>
  <c r="K19" i="3"/>
  <c r="K6" i="5"/>
  <c r="K41" i="3"/>
  <c r="H41" i="3"/>
  <c r="I41" i="3"/>
  <c r="J41" i="3"/>
  <c r="G41" i="3"/>
  <c r="H6" i="5"/>
  <c r="P20" i="6"/>
  <c r="I6" i="5"/>
  <c r="J6" i="5"/>
  <c r="R20" i="6"/>
  <c r="G6" i="5"/>
  <c r="H9" i="5"/>
  <c r="I9" i="5"/>
  <c r="J9" i="5"/>
  <c r="K9" i="5"/>
  <c r="G9" i="5"/>
  <c r="I12" i="6"/>
  <c r="G12" i="6"/>
  <c r="F29" i="6"/>
  <c r="F31" i="6"/>
  <c r="F32" i="6"/>
  <c r="F30" i="6"/>
  <c r="J32" i="6"/>
  <c r="J31" i="6"/>
  <c r="J29" i="6"/>
  <c r="J30" i="6"/>
  <c r="G34" i="5"/>
  <c r="O20" i="6"/>
  <c r="F12" i="6"/>
  <c r="K41" i="5"/>
  <c r="S11" i="6"/>
  <c r="G32" i="6"/>
  <c r="G29" i="6"/>
  <c r="G30" i="6"/>
  <c r="G31" i="6"/>
  <c r="I34" i="5"/>
  <c r="Q20" i="6"/>
  <c r="H12" i="6"/>
  <c r="I29" i="6"/>
  <c r="I32" i="6"/>
  <c r="I30" i="6"/>
  <c r="I31" i="6"/>
  <c r="H30" i="6"/>
  <c r="H29" i="6"/>
  <c r="H32" i="6"/>
  <c r="H31" i="6"/>
  <c r="K34" i="5"/>
  <c r="S20" i="6"/>
  <c r="J12" i="6"/>
  <c r="I35" i="5"/>
  <c r="I44" i="5"/>
  <c r="Q19" i="6"/>
  <c r="H5" i="6"/>
  <c r="G35" i="5"/>
  <c r="G44" i="5"/>
  <c r="O19" i="6"/>
  <c r="F5" i="6"/>
  <c r="H35" i="5"/>
  <c r="H44" i="5"/>
  <c r="P19" i="6"/>
  <c r="G5" i="6"/>
  <c r="K35" i="5"/>
  <c r="K44" i="5"/>
  <c r="S19" i="6"/>
  <c r="J5" i="6"/>
  <c r="J35" i="5"/>
  <c r="J44" i="5"/>
  <c r="R19" i="6"/>
  <c r="I5" i="6"/>
  <c r="J36" i="5"/>
  <c r="J34" i="5"/>
  <c r="H36" i="5"/>
  <c r="H34" i="5"/>
  <c r="K36" i="5"/>
  <c r="I36" i="5"/>
  <c r="I24" i="5"/>
  <c r="G36" i="5"/>
  <c r="J24" i="5"/>
  <c r="K27" i="5"/>
  <c r="K58" i="5"/>
  <c r="K57" i="5"/>
  <c r="I25" i="5"/>
  <c r="I29" i="5"/>
  <c r="I59" i="5"/>
  <c r="H23" i="5"/>
  <c r="I57" i="5"/>
  <c r="I27" i="5"/>
  <c r="I58" i="5"/>
  <c r="K23" i="5"/>
  <c r="G29" i="5"/>
  <c r="G59" i="5"/>
  <c r="G25" i="5"/>
  <c r="G24" i="5"/>
  <c r="H24" i="5"/>
  <c r="I23" i="5"/>
  <c r="J27" i="5"/>
  <c r="J58" i="5"/>
  <c r="J57" i="5"/>
  <c r="G23" i="5"/>
  <c r="H29" i="5"/>
  <c r="H59" i="5"/>
  <c r="H25" i="5"/>
  <c r="G27" i="5"/>
  <c r="G58" i="5"/>
  <c r="G61" i="5"/>
  <c r="G57" i="5"/>
  <c r="H27" i="5"/>
  <c r="H58" i="5"/>
  <c r="H61" i="5"/>
  <c r="H57" i="5"/>
  <c r="J23" i="5"/>
  <c r="J25" i="5"/>
  <c r="J29" i="5"/>
  <c r="J59" i="5"/>
  <c r="K25" i="5"/>
  <c r="K29" i="5"/>
  <c r="K59" i="5"/>
  <c r="K24" i="5"/>
  <c r="I61" i="5"/>
  <c r="J61" i="5"/>
  <c r="K61" i="5"/>
  <c r="P25" i="6"/>
  <c r="Q25" i="6"/>
  <c r="R25" i="6"/>
  <c r="S25" i="6"/>
  <c r="O25" i="6"/>
  <c r="R3" i="6"/>
  <c r="I41" i="6"/>
  <c r="G38" i="4"/>
  <c r="F38" i="4"/>
  <c r="Q3" i="6"/>
  <c r="H41" i="6"/>
  <c r="S3" i="6"/>
  <c r="J41" i="6"/>
  <c r="H38" i="4"/>
  <c r="O3" i="6"/>
  <c r="F41" i="6"/>
  <c r="D38" i="4"/>
  <c r="P3" i="6"/>
  <c r="G41" i="6"/>
  <c r="E38" i="4"/>
  <c r="K35" i="3"/>
  <c r="J35" i="3"/>
  <c r="I35" i="3"/>
  <c r="H6" i="6"/>
  <c r="H42" i="6"/>
  <c r="H39" i="6"/>
  <c r="H8" i="6"/>
  <c r="F39" i="6"/>
  <c r="F8" i="6"/>
  <c r="F6" i="6"/>
  <c r="F42" i="6"/>
  <c r="G39" i="6"/>
  <c r="G8" i="6"/>
  <c r="G6" i="6"/>
  <c r="G42" i="6"/>
  <c r="J8" i="6"/>
  <c r="J6" i="6"/>
  <c r="J42" i="6"/>
  <c r="J39" i="6"/>
  <c r="I8" i="6"/>
  <c r="I6" i="6"/>
  <c r="I42" i="6"/>
  <c r="I39" i="6"/>
  <c r="I37" i="5"/>
  <c r="I38" i="5"/>
  <c r="I52" i="5"/>
  <c r="I63" i="5"/>
  <c r="I66" i="5"/>
  <c r="G37" i="5"/>
  <c r="G38" i="5"/>
  <c r="G52" i="5"/>
  <c r="G63" i="5"/>
  <c r="G66" i="5"/>
  <c r="H37" i="5"/>
  <c r="H38" i="5"/>
  <c r="H52" i="5"/>
  <c r="H63" i="5"/>
  <c r="H66" i="5"/>
  <c r="K37" i="5"/>
  <c r="K38" i="5"/>
  <c r="K52" i="5"/>
  <c r="K63" i="5"/>
  <c r="K66" i="5"/>
  <c r="J37" i="5"/>
  <c r="J38" i="5"/>
  <c r="J52" i="5"/>
  <c r="J63" i="5"/>
  <c r="J66" i="5"/>
  <c r="H28" i="5"/>
  <c r="H30" i="5"/>
  <c r="I28" i="5"/>
  <c r="I30" i="5"/>
  <c r="K28" i="5"/>
  <c r="K30" i="5"/>
  <c r="G28" i="5"/>
  <c r="G30" i="5"/>
  <c r="J28" i="5"/>
  <c r="J30" i="5"/>
</calcChain>
</file>

<file path=xl/sharedStrings.xml><?xml version="1.0" encoding="utf-8"?>
<sst xmlns="http://schemas.openxmlformats.org/spreadsheetml/2006/main" count="278" uniqueCount="224">
  <si>
    <t>Cash and balances with treasury banks</t>
  </si>
  <si>
    <t>Balances with other banks</t>
  </si>
  <si>
    <t>Lendings to financial institutions</t>
  </si>
  <si>
    <t>Investments</t>
  </si>
  <si>
    <t>Advances</t>
  </si>
  <si>
    <t>Fixed assets</t>
  </si>
  <si>
    <t>Intangible assets</t>
  </si>
  <si>
    <t>Other assets</t>
  </si>
  <si>
    <t>Bills payable</t>
  </si>
  <si>
    <t>Borrowings</t>
  </si>
  <si>
    <t>Deferred tax liabilities</t>
  </si>
  <si>
    <t>Other liabilities</t>
  </si>
  <si>
    <t>Share capital</t>
  </si>
  <si>
    <t>Reserves</t>
  </si>
  <si>
    <t>Unappropriated profit</t>
  </si>
  <si>
    <t>Profit before provisions</t>
  </si>
  <si>
    <t>Taxation</t>
  </si>
  <si>
    <t>Rupees in '000'</t>
  </si>
  <si>
    <t>Mark-up / return / interest earned</t>
  </si>
  <si>
    <t>Mark-up / return / interest expensed</t>
  </si>
  <si>
    <t>Net mark-up / interest income</t>
  </si>
  <si>
    <t>Net mark-up / interest income after provisions</t>
  </si>
  <si>
    <t>NON MARK-UP / INTEREST INCOME</t>
  </si>
  <si>
    <t>Fee and commission income</t>
  </si>
  <si>
    <t>Dividend income</t>
  </si>
  <si>
    <t>Foreign exchange income</t>
  </si>
  <si>
    <t>Income from derivatives</t>
  </si>
  <si>
    <t>Gain / (loss) on securities</t>
  </si>
  <si>
    <t>Other income</t>
  </si>
  <si>
    <t>Total non-markup / interest Income</t>
  </si>
  <si>
    <t>Total Income</t>
  </si>
  <si>
    <t>NON MARK-UP / INTEREST EXPENSES</t>
  </si>
  <si>
    <t>Operating expenses</t>
  </si>
  <si>
    <t>Workers welfare fund</t>
  </si>
  <si>
    <t>Other charges</t>
  </si>
  <si>
    <t>Total non-markup / interest expenses</t>
  </si>
  <si>
    <t>Share of profit of associates</t>
  </si>
  <si>
    <t>(Reversals) / provisions and write offs - net</t>
  </si>
  <si>
    <t>Extra ordinary / unusual items</t>
  </si>
  <si>
    <t>PROFIT BEFORE TAXATION</t>
  </si>
  <si>
    <t>PROFIT AFTER TAXATION</t>
  </si>
  <si>
    <t>Attributable to:</t>
  </si>
  <si>
    <t>Equity shareholders of the Bank</t>
  </si>
  <si>
    <t>Non-controlling interest</t>
  </si>
  <si>
    <t>ASSETS</t>
  </si>
  <si>
    <t>Deferred tax assets</t>
  </si>
  <si>
    <t>LIABILITIES</t>
  </si>
  <si>
    <t>Deposits and other accounts</t>
  </si>
  <si>
    <t>Liabilities against assets subject to finance lease</t>
  </si>
  <si>
    <t>Subordinated debt</t>
  </si>
  <si>
    <t>NET ASSETS</t>
  </si>
  <si>
    <t>REPRESENTED BY</t>
  </si>
  <si>
    <t>Surplus on revaluation of assets - net</t>
  </si>
  <si>
    <t>(Rupees in '000')</t>
  </si>
  <si>
    <t>what net</t>
  </si>
  <si>
    <t>Why They are in -ve</t>
  </si>
  <si>
    <t>NI/(Total Equity Capital)</t>
  </si>
  <si>
    <t>Return on Capital (ROE)</t>
  </si>
  <si>
    <t>Total Assets</t>
  </si>
  <si>
    <t>TOTAL LIABILITIES</t>
  </si>
  <si>
    <t>TOTAL ASSETS</t>
  </si>
  <si>
    <t>Total Equity</t>
  </si>
  <si>
    <t>Return on Assets (ROA)</t>
  </si>
  <si>
    <t>NI/(Total Assets)</t>
  </si>
  <si>
    <t>Net Interest Margin</t>
  </si>
  <si>
    <t>Net Non Interest Margin</t>
  </si>
  <si>
    <t>Net Interest Income/(TA)</t>
  </si>
  <si>
    <t xml:space="preserve">Net Interest Income </t>
  </si>
  <si>
    <t>Total Liabilties + Equity</t>
  </si>
  <si>
    <t>Common Shares Outstanding</t>
  </si>
  <si>
    <t>Total Earning Assets</t>
  </si>
  <si>
    <t>Total Interest Bearing Liabilities</t>
  </si>
  <si>
    <t>Total Assets/Total Equity</t>
  </si>
  <si>
    <t>Profit After Taxation (Net Income)</t>
  </si>
  <si>
    <t>Net Profit Margin (NPM)</t>
  </si>
  <si>
    <t>Equity Multiplier (EM)</t>
  </si>
  <si>
    <t>Asset Utilization (AU)</t>
  </si>
  <si>
    <t>Total Operating Revenues (Net Interest + Net Non Interest)</t>
  </si>
  <si>
    <t>Total Operating Expenses (Net Interest + Net Non Interest)</t>
  </si>
  <si>
    <t>Total operating revenues</t>
  </si>
  <si>
    <t>Total operating expenses</t>
  </si>
  <si>
    <t>Total OP Revenues/Total Assets</t>
  </si>
  <si>
    <t>NI/Total OP Revenues</t>
  </si>
  <si>
    <t>Net Non Interest income/TA</t>
  </si>
  <si>
    <t>Net Non Interest Income</t>
  </si>
  <si>
    <t>Interest Earning Assets</t>
  </si>
  <si>
    <t>Lending to financial institutions</t>
  </si>
  <si>
    <t xml:space="preserve">Current Account (Deduct it) </t>
  </si>
  <si>
    <t>Net Bank Operating Margin</t>
  </si>
  <si>
    <t>Earning Spread</t>
  </si>
  <si>
    <t>Tax Management Efficiency</t>
  </si>
  <si>
    <t>Asset Management Efficiency</t>
  </si>
  <si>
    <t>Net Operating Revenue/Total Assets</t>
  </si>
  <si>
    <t>Expense Control Efficiency</t>
  </si>
  <si>
    <t>Funds Management Efficiency</t>
  </si>
  <si>
    <t>Expense Control Efficiency*Tax Management Efficiency*Asset Mangement Efficiency*Funds Management Efficiency</t>
  </si>
  <si>
    <t>Pre-Tax Net Operating Income/ Total Operating Revenue</t>
  </si>
  <si>
    <t>Net Income/Pre-Tax Net Operating Income</t>
  </si>
  <si>
    <t>Total Operating Revenue/ Total Assets</t>
  </si>
  <si>
    <t>Total Assets/Total Equity Capital</t>
  </si>
  <si>
    <t>(Total Interest Income/Total Earning Assets-Total Interest Expense/Total Interest Bearing Liability</t>
  </si>
  <si>
    <t>Current Account - In Pakistan</t>
  </si>
  <si>
    <t>Current Account - Outside Pakistan</t>
  </si>
  <si>
    <t>Total Currrent Account Deposit to be deducted</t>
  </si>
  <si>
    <t>Balances with other Banks - Current Account</t>
  </si>
  <si>
    <t>Deduct Cash in hand</t>
  </si>
  <si>
    <t>Deduct Local currency current accounts - NBP</t>
  </si>
  <si>
    <t>Deduct Local currency in current accounts - SBP</t>
  </si>
  <si>
    <t>Deduct Foreign curreny in current accounts - SBP</t>
  </si>
  <si>
    <t>Deduct foreign currency current accounts - Other central banks</t>
  </si>
  <si>
    <t>Interest Bearing Liabilities</t>
  </si>
  <si>
    <t xml:space="preserve">                         - Local Currency</t>
  </si>
  <si>
    <t xml:space="preserve">                         - Foreign Currency</t>
  </si>
  <si>
    <t>(Deduct) Current Accounts - Financial Institutions</t>
  </si>
  <si>
    <t>(Deduct) Current Accounts - Customers</t>
  </si>
  <si>
    <t>(Deduct) Total customer current account deposits</t>
  </si>
  <si>
    <t>(Deduct) Total Fincnail institutions current account deposits</t>
  </si>
  <si>
    <t>ROE (from Above 3)</t>
  </si>
  <si>
    <t>NPM*EM*AU</t>
  </si>
  <si>
    <t>Pre-Tax Net Operating Income</t>
  </si>
  <si>
    <t>Net Operating Income (Pre Tax)</t>
  </si>
  <si>
    <t>ROE (from Above 4)</t>
  </si>
  <si>
    <t xml:space="preserve">Interest Income </t>
  </si>
  <si>
    <t>Interest Expenses</t>
  </si>
  <si>
    <t>NI/Total Shares Outstanding</t>
  </si>
  <si>
    <t>Earning Per Share (PKR/share)</t>
  </si>
  <si>
    <t>DUPONT ANALYSIS</t>
  </si>
  <si>
    <t>ROE (Net Income/Total Equity Capital)</t>
  </si>
  <si>
    <t>Breakdown of ROE</t>
  </si>
  <si>
    <t>ROA (Net Income/Total Assets)</t>
  </si>
  <si>
    <t xml:space="preserve">                      - Net Profit Margin</t>
  </si>
  <si>
    <t xml:space="preserve">                      - Asset Utilization </t>
  </si>
  <si>
    <t>ROA = (Net Profit Margin) * (Asset Utilization)</t>
  </si>
  <si>
    <t>ROE = ROA * (Equity Multiplier)</t>
  </si>
  <si>
    <t>Equity Multiplier (Total Assets/Equity Capital)</t>
  </si>
  <si>
    <t>Stock price / EPS</t>
  </si>
  <si>
    <t>Equity Capital / Total Assets</t>
  </si>
  <si>
    <t>Capital Risk Measures</t>
  </si>
  <si>
    <t>Purchased Funds / Total Liabilities</t>
  </si>
  <si>
    <t>Equity Capital / Risk Assets</t>
  </si>
  <si>
    <t>Operating Efficiency Ratio</t>
  </si>
  <si>
    <t>Interest Rate Risk Measures</t>
  </si>
  <si>
    <t>Interest Sensitive Assets/Interest Sensitive Liabilities</t>
  </si>
  <si>
    <t>Uninsured Deposits/Total Deposits</t>
  </si>
  <si>
    <t>Market Risk Measures</t>
  </si>
  <si>
    <t>Book-Value of Assets/ Market Value of Assets</t>
  </si>
  <si>
    <t>Book-Value of Equity/ Market Value of Equity</t>
  </si>
  <si>
    <t>Book-Value of Bonds/Market Value of Bonds</t>
  </si>
  <si>
    <t>Market Value of Preferred Stock and Common Stock</t>
  </si>
  <si>
    <t>Purchased Funds/Total Assets</t>
  </si>
  <si>
    <t>Net Loans/Total Assets</t>
  </si>
  <si>
    <t>Cash and Due from Banks/Total Assets</t>
  </si>
  <si>
    <t>Cash and Government Securities/Total Assets</t>
  </si>
  <si>
    <t>Nonperforming Loans/Total Loans</t>
  </si>
  <si>
    <t>Net Charge-Offs/Total Loans</t>
  </si>
  <si>
    <t>Provision for Loan Losses/Total Loans</t>
  </si>
  <si>
    <t>Provision for Loan Losses/Equity Capital</t>
  </si>
  <si>
    <t>Allowance for Loan Losses/Total Loans</t>
  </si>
  <si>
    <t>Allowance for Loan Losses/Equity Capital</t>
  </si>
  <si>
    <t>Nonperforming Loans/Equity Capital</t>
  </si>
  <si>
    <t>Total Liabilities</t>
  </si>
  <si>
    <t>Total Deposits</t>
  </si>
  <si>
    <t>Total Loans</t>
  </si>
  <si>
    <t>Risk Assets</t>
  </si>
  <si>
    <t>Purchased Funds</t>
  </si>
  <si>
    <t>Interest Earninigs Assets</t>
  </si>
  <si>
    <t>Stock Price</t>
  </si>
  <si>
    <t>Permanent Staffs</t>
  </si>
  <si>
    <t>Provisions</t>
  </si>
  <si>
    <t>Non Performing Loans</t>
  </si>
  <si>
    <t>Total Performing Loans</t>
  </si>
  <si>
    <t>Lending to Finacnial institutions</t>
  </si>
  <si>
    <t>Total Risk Assets</t>
  </si>
  <si>
    <t>Uninsured Deposits</t>
  </si>
  <si>
    <t>Net Loans = Total Loans - Provisions</t>
  </si>
  <si>
    <t>Total Purchased Funds</t>
  </si>
  <si>
    <t xml:space="preserve">Borrowings from State Bank </t>
  </si>
  <si>
    <t>Borrwing from other financial institutions</t>
  </si>
  <si>
    <t>Other Goals in Banking</t>
  </si>
  <si>
    <t>Liquidity Risk Measures</t>
  </si>
  <si>
    <t>Credit Risk Measures</t>
  </si>
  <si>
    <t>EPS</t>
  </si>
  <si>
    <t>Total Uninsured Loans</t>
  </si>
  <si>
    <t>Secured Deposits</t>
  </si>
  <si>
    <t>Operating Revenues</t>
  </si>
  <si>
    <t>Operating Expenses</t>
  </si>
  <si>
    <t>Employee Productive Ratio =(Non Performing Loans/No. of permamanet employees)</t>
  </si>
  <si>
    <t xml:space="preserve">Cash </t>
  </si>
  <si>
    <t>Cash and due from other banks</t>
  </si>
  <si>
    <t>Cash and Government securities</t>
  </si>
  <si>
    <t>Treasury Securities</t>
  </si>
  <si>
    <t>Allowance for Loan Losses</t>
  </si>
  <si>
    <t>Provision for Loan Losses</t>
  </si>
  <si>
    <t>(Deduct) Actual Charge Offs</t>
  </si>
  <si>
    <t>(Add) Recoveries</t>
  </si>
  <si>
    <t>Charge Offs</t>
  </si>
  <si>
    <t>Capital Adequacy Ratio</t>
  </si>
  <si>
    <t>Total Capital Adequacy Ratio</t>
  </si>
  <si>
    <t>Market value of Assets</t>
  </si>
  <si>
    <t>Market value of Equity</t>
  </si>
  <si>
    <t>Book Value of Assets</t>
  </si>
  <si>
    <t>Book Value of Equity</t>
  </si>
  <si>
    <r>
      <rPr>
        <b/>
        <sz val="14"/>
        <color rgb="FFFF0000"/>
        <rFont val="Arial"/>
        <family val="2"/>
      </rPr>
      <t>C</t>
    </r>
    <r>
      <rPr>
        <b/>
        <sz val="14"/>
        <rFont val="Arial"/>
        <family val="2"/>
      </rPr>
      <t>AMELS</t>
    </r>
  </si>
  <si>
    <r>
      <rPr>
        <b/>
        <sz val="14"/>
        <color theme="1"/>
        <rFont val="Arial"/>
        <family val="2"/>
      </rPr>
      <t>C</t>
    </r>
    <r>
      <rPr>
        <b/>
        <sz val="14"/>
        <color rgb="FFFF0000"/>
        <rFont val="Arial"/>
        <family val="2"/>
      </rPr>
      <t>A</t>
    </r>
    <r>
      <rPr>
        <b/>
        <sz val="14"/>
        <rFont val="Arial"/>
        <family val="2"/>
      </rPr>
      <t>MELS</t>
    </r>
  </si>
  <si>
    <r>
      <rPr>
        <b/>
        <sz val="14"/>
        <color theme="1"/>
        <rFont val="Arial"/>
        <family val="2"/>
      </rPr>
      <t>CA</t>
    </r>
    <r>
      <rPr>
        <b/>
        <sz val="14"/>
        <color rgb="FFFF0000"/>
        <rFont val="Arial"/>
        <family val="2"/>
      </rPr>
      <t>M</t>
    </r>
    <r>
      <rPr>
        <b/>
        <sz val="14"/>
        <rFont val="Arial"/>
        <family val="2"/>
      </rPr>
      <t>ELS</t>
    </r>
  </si>
  <si>
    <r>
      <rPr>
        <b/>
        <sz val="14"/>
        <color theme="1"/>
        <rFont val="Arial"/>
        <family val="2"/>
      </rPr>
      <t>CAM</t>
    </r>
    <r>
      <rPr>
        <b/>
        <sz val="14"/>
        <color rgb="FFFF0000"/>
        <rFont val="Arial"/>
        <family val="2"/>
      </rPr>
      <t>E</t>
    </r>
    <r>
      <rPr>
        <b/>
        <sz val="14"/>
        <rFont val="Arial"/>
        <family val="2"/>
      </rPr>
      <t>LS</t>
    </r>
  </si>
  <si>
    <t>ROA</t>
  </si>
  <si>
    <t>ROE</t>
  </si>
  <si>
    <r>
      <rPr>
        <b/>
        <sz val="14"/>
        <color theme="1"/>
        <rFont val="Arial"/>
        <family val="2"/>
      </rPr>
      <t>CAME</t>
    </r>
    <r>
      <rPr>
        <b/>
        <sz val="14"/>
        <color rgb="FFFF0000"/>
        <rFont val="Arial"/>
        <family val="2"/>
      </rPr>
      <t>L</t>
    </r>
    <r>
      <rPr>
        <b/>
        <sz val="14"/>
        <rFont val="Arial"/>
        <family val="2"/>
      </rPr>
      <t>S</t>
    </r>
  </si>
  <si>
    <t>Advances / Deposits</t>
  </si>
  <si>
    <r>
      <rPr>
        <b/>
        <sz val="14"/>
        <color theme="1"/>
        <rFont val="Arial"/>
        <family val="2"/>
      </rPr>
      <t>CAMEL</t>
    </r>
    <r>
      <rPr>
        <b/>
        <sz val="14"/>
        <color rgb="FFFF0000"/>
        <rFont val="Arial"/>
        <family val="2"/>
      </rPr>
      <t>S</t>
    </r>
  </si>
  <si>
    <t>Non performing Loans / Advances</t>
  </si>
  <si>
    <t>Rankings</t>
  </si>
  <si>
    <t>Weightage</t>
  </si>
  <si>
    <t>Value</t>
  </si>
  <si>
    <t>Fee and Commission /Net Income</t>
  </si>
  <si>
    <t>Total Securities/Total Assets</t>
  </si>
  <si>
    <t>Federal Government Securities</t>
  </si>
  <si>
    <t>Total Securities</t>
  </si>
  <si>
    <t>Provincial Government Securities</t>
  </si>
  <si>
    <t>No Government Debt Securities</t>
  </si>
  <si>
    <t>Foreign Securities</t>
  </si>
  <si>
    <t>TOTAL RANKING BY YEAR</t>
  </si>
  <si>
    <t>Purchase of Governemnt 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</si>
</sst>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3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Times New Roman"/>
      <family val="2"/>
    </font>
    <font>
      <sz val="9"/>
      <name val="Times New Roman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sz val="8"/>
      <color rgb="FFFF0000"/>
      <name val="Times New Roman"/>
      <family val="2"/>
    </font>
    <font>
      <b/>
      <sz val="10"/>
      <name val="Arial"/>
      <family val="2"/>
    </font>
    <font>
      <sz val="9"/>
      <color rgb="FFFF0000"/>
      <name val="Times New Roman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9"/>
      <name val="Times New Roman"/>
      <family val="1"/>
    </font>
    <font>
      <sz val="10"/>
      <name val="Times New Roman"/>
      <family val="2"/>
    </font>
    <font>
      <sz val="10"/>
      <color rgb="FFFF0000"/>
      <name val="Times New Roman"/>
      <family val="2"/>
    </font>
    <font>
      <b/>
      <sz val="8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NumberFormat="1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7" fillId="0" borderId="0" xfId="0" applyNumberFormat="1" applyFont="1"/>
    <xf numFmtId="3" fontId="7" fillId="0" borderId="0" xfId="0" applyNumberFormat="1" applyFont="1"/>
    <xf numFmtId="3" fontId="7" fillId="0" borderId="0" xfId="1" applyNumberFormat="1" applyFont="1"/>
    <xf numFmtId="0" fontId="4" fillId="0" borderId="0" xfId="1" applyFont="1"/>
    <xf numFmtId="1" fontId="7" fillId="0" borderId="0" xfId="0" applyNumberFormat="1" applyFont="1"/>
    <xf numFmtId="0" fontId="7" fillId="0" borderId="0" xfId="1" applyNumberFormat="1" applyFont="1" applyAlignment="1"/>
    <xf numFmtId="2" fontId="7" fillId="0" borderId="0" xfId="0" applyNumberFormat="1" applyFont="1"/>
    <xf numFmtId="1" fontId="8" fillId="2" borderId="0" xfId="0" applyNumberFormat="1" applyFont="1" applyFill="1" applyAlignment="1">
      <alignment horizontal="center"/>
    </xf>
    <xf numFmtId="0" fontId="8" fillId="2" borderId="0" xfId="0" applyNumberFormat="1" applyFont="1" applyFill="1" applyAlignment="1">
      <alignment horizontal="center"/>
    </xf>
    <xf numFmtId="0" fontId="8" fillId="2" borderId="0" xfId="0" applyNumberFormat="1" applyFont="1" applyFill="1" applyAlignment="1"/>
    <xf numFmtId="0" fontId="0" fillId="2" borderId="0" xfId="0" applyFill="1"/>
    <xf numFmtId="3" fontId="10" fillId="0" borderId="0" xfId="0" applyNumberFormat="1" applyFont="1"/>
    <xf numFmtId="3" fontId="9" fillId="0" borderId="0" xfId="0" applyNumberFormat="1" applyFont="1"/>
    <xf numFmtId="0" fontId="5" fillId="3" borderId="0" xfId="0" applyFont="1" applyFill="1" applyAlignment="1">
      <alignment horizontal="center"/>
    </xf>
    <xf numFmtId="0" fontId="6" fillId="3" borderId="0" xfId="0" applyNumberFormat="1" applyFont="1" applyFill="1" applyAlignment="1">
      <alignment horizontal="center"/>
    </xf>
    <xf numFmtId="3" fontId="11" fillId="0" borderId="0" xfId="0" applyNumberFormat="1" applyFont="1"/>
    <xf numFmtId="0" fontId="12" fillId="2" borderId="0" xfId="0" applyFont="1" applyFill="1"/>
    <xf numFmtId="0" fontId="5" fillId="2" borderId="0" xfId="0" applyFont="1" applyFill="1"/>
    <xf numFmtId="3" fontId="13" fillId="0" borderId="0" xfId="1" applyNumberFormat="1" applyFont="1"/>
    <xf numFmtId="3" fontId="13" fillId="0" borderId="0" xfId="0" applyNumberFormat="1" applyFont="1"/>
    <xf numFmtId="3" fontId="4" fillId="0" borderId="0" xfId="0" applyNumberFormat="1" applyFont="1"/>
    <xf numFmtId="0" fontId="0" fillId="0" borderId="0" xfId="0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1" fontId="17" fillId="2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3" fontId="1" fillId="0" borderId="1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10" fontId="0" fillId="0" borderId="0" xfId="2" applyNumberFormat="1" applyFont="1" applyAlignment="1">
      <alignment horizontal="center"/>
    </xf>
    <xf numFmtId="0" fontId="12" fillId="6" borderId="3" xfId="0" applyFont="1" applyFill="1" applyBorder="1"/>
    <xf numFmtId="0" fontId="8" fillId="0" borderId="0" xfId="0" applyNumberFormat="1" applyFont="1"/>
    <xf numFmtId="3" fontId="16" fillId="0" borderId="1" xfId="2" applyNumberFormat="1" applyFont="1" applyBorder="1" applyAlignment="1">
      <alignment horizontal="center"/>
    </xf>
    <xf numFmtId="0" fontId="0" fillId="0" borderId="0" xfId="0" applyAlignment="1">
      <alignment horizontal="left" vertical="center"/>
    </xf>
    <xf numFmtId="3" fontId="16" fillId="0" borderId="3" xfId="2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0" xfId="0" applyFont="1" applyAlignment="1">
      <alignment horizontal="center" vertical="center" wrapText="1"/>
    </xf>
    <xf numFmtId="3" fontId="0" fillId="0" borderId="0" xfId="0" applyNumberFormat="1"/>
    <xf numFmtId="0" fontId="17" fillId="7" borderId="0" xfId="0" applyNumberFormat="1" applyFont="1" applyFill="1"/>
    <xf numFmtId="0" fontId="17" fillId="7" borderId="3" xfId="0" applyNumberFormat="1" applyFont="1" applyFill="1" applyBorder="1"/>
    <xf numFmtId="1" fontId="8" fillId="2" borderId="3" xfId="0" applyNumberFormat="1" applyFont="1" applyFill="1" applyBorder="1" applyAlignment="1">
      <alignment horizontal="center"/>
    </xf>
    <xf numFmtId="0" fontId="7" fillId="0" borderId="3" xfId="0" applyNumberFormat="1" applyFont="1" applyBorder="1"/>
    <xf numFmtId="3" fontId="3" fillId="0" borderId="3" xfId="0" applyNumberFormat="1" applyFont="1" applyBorder="1" applyAlignment="1">
      <alignment horizontal="center"/>
    </xf>
    <xf numFmtId="0" fontId="3" fillId="0" borderId="3" xfId="0" applyNumberFormat="1" applyFont="1" applyBorder="1"/>
    <xf numFmtId="0" fontId="0" fillId="0" borderId="3" xfId="0" applyBorder="1" applyAlignment="1">
      <alignment horizontal="center"/>
    </xf>
    <xf numFmtId="3" fontId="12" fillId="0" borderId="3" xfId="0" applyNumberFormat="1" applyFont="1" applyBorder="1" applyAlignment="1">
      <alignment horizontal="center"/>
    </xf>
    <xf numFmtId="0" fontId="18" fillId="0" borderId="3" xfId="0" applyNumberFormat="1" applyFont="1" applyBorder="1"/>
    <xf numFmtId="3" fontId="19" fillId="0" borderId="3" xfId="0" applyNumberFormat="1" applyFont="1" applyBorder="1" applyAlignment="1">
      <alignment horizontal="center"/>
    </xf>
    <xf numFmtId="3" fontId="19" fillId="0" borderId="0" xfId="0" applyNumberFormat="1" applyFont="1" applyAlignment="1">
      <alignment horizontal="center"/>
    </xf>
    <xf numFmtId="3" fontId="20" fillId="0" borderId="0" xfId="0" applyNumberFormat="1" applyFont="1" applyAlignment="1">
      <alignment horizontal="center"/>
    </xf>
    <xf numFmtId="0" fontId="0" fillId="0" borderId="0" xfId="0" applyFont="1"/>
    <xf numFmtId="3" fontId="19" fillId="0" borderId="0" xfId="0" applyNumberFormat="1" applyFont="1"/>
    <xf numFmtId="0" fontId="8" fillId="0" borderId="3" xfId="0" applyNumberFormat="1" applyFont="1" applyBorder="1"/>
    <xf numFmtId="3" fontId="8" fillId="0" borderId="3" xfId="0" applyNumberFormat="1" applyFont="1" applyBorder="1"/>
    <xf numFmtId="3" fontId="4" fillId="0" borderId="3" xfId="0" applyNumberFormat="1" applyFont="1" applyBorder="1"/>
    <xf numFmtId="3" fontId="5" fillId="0" borderId="3" xfId="0" applyNumberFormat="1" applyFont="1" applyBorder="1"/>
    <xf numFmtId="3" fontId="21" fillId="0" borderId="3" xfId="0" applyNumberFormat="1" applyFont="1" applyBorder="1" applyAlignment="1">
      <alignment vertical="center"/>
    </xf>
    <xf numFmtId="3" fontId="21" fillId="0" borderId="3" xfId="0" applyNumberFormat="1" applyFont="1" applyBorder="1"/>
    <xf numFmtId="0" fontId="22" fillId="0" borderId="0" xfId="0" applyNumberFormat="1" applyFont="1"/>
    <xf numFmtId="3" fontId="0" fillId="0" borderId="0" xfId="0" applyNumberFormat="1" applyFont="1"/>
    <xf numFmtId="3" fontId="23" fillId="0" borderId="0" xfId="0" applyNumberFormat="1" applyFont="1" applyAlignment="1">
      <alignment horizontal="center"/>
    </xf>
    <xf numFmtId="3" fontId="23" fillId="0" borderId="3" xfId="0" applyNumberFormat="1" applyFont="1" applyBorder="1" applyAlignment="1">
      <alignment horizontal="center"/>
    </xf>
    <xf numFmtId="0" fontId="22" fillId="0" borderId="0" xfId="0" applyNumberFormat="1" applyFont="1" applyFill="1" applyBorder="1"/>
    <xf numFmtId="3" fontId="5" fillId="0" borderId="3" xfId="0" applyNumberFormat="1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10" fontId="12" fillId="0" borderId="3" xfId="2" applyNumberFormat="1" applyFont="1" applyBorder="1" applyAlignment="1">
      <alignment horizontal="center" vertical="center"/>
    </xf>
    <xf numFmtId="10" fontId="12" fillId="0" borderId="3" xfId="2" applyNumberFormat="1" applyFont="1" applyBorder="1" applyAlignment="1">
      <alignment horizontal="center"/>
    </xf>
    <xf numFmtId="10" fontId="12" fillId="0" borderId="0" xfId="2" applyNumberFormat="1" applyFont="1" applyAlignment="1">
      <alignment horizontal="center"/>
    </xf>
    <xf numFmtId="0" fontId="12" fillId="2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164" fontId="12" fillId="0" borderId="3" xfId="0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0" fontId="25" fillId="0" borderId="0" xfId="0" applyNumberFormat="1" applyFont="1" applyAlignment="1">
      <alignment horizontal="center"/>
    </xf>
    <xf numFmtId="10" fontId="12" fillId="0" borderId="0" xfId="0" applyNumberFormat="1" applyFont="1" applyAlignment="1">
      <alignment horizontal="center"/>
    </xf>
    <xf numFmtId="0" fontId="0" fillId="0" borderId="0" xfId="0" applyBorder="1"/>
    <xf numFmtId="10" fontId="0" fillId="0" borderId="0" xfId="2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0" borderId="3" xfId="0" applyFont="1" applyBorder="1"/>
    <xf numFmtId="0" fontId="12" fillId="0" borderId="3" xfId="0" applyFont="1" applyFill="1" applyBorder="1"/>
    <xf numFmtId="3" fontId="29" fillId="0" borderId="3" xfId="0" applyNumberFormat="1" applyFont="1" applyBorder="1" applyAlignment="1">
      <alignment horizontal="center" vertical="center"/>
    </xf>
    <xf numFmtId="0" fontId="0" fillId="0" borderId="0" xfId="0" applyFill="1" applyBorder="1"/>
    <xf numFmtId="0" fontId="26" fillId="2" borderId="0" xfId="0" applyFont="1" applyFill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2" fontId="0" fillId="0" borderId="0" xfId="2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3" fontId="12" fillId="0" borderId="3" xfId="0" applyNumberFormat="1" applyFont="1" applyBorder="1" applyAlignment="1">
      <alignment horizontal="center" vertical="center"/>
    </xf>
    <xf numFmtId="0" fontId="12" fillId="2" borderId="3" xfId="0" applyFont="1" applyFill="1" applyBorder="1"/>
    <xf numFmtId="0" fontId="12" fillId="0" borderId="0" xfId="0" applyFont="1"/>
    <xf numFmtId="0" fontId="12" fillId="0" borderId="0" xfId="0" applyFont="1" applyAlignment="1">
      <alignment horizontal="center"/>
    </xf>
    <xf numFmtId="9" fontId="0" fillId="0" borderId="0" xfId="2" applyFont="1" applyAlignment="1">
      <alignment horizontal="center"/>
    </xf>
    <xf numFmtId="0" fontId="0" fillId="0" borderId="0" xfId="2" applyNumberFormat="1" applyFont="1" applyBorder="1" applyAlignment="1">
      <alignment horizontal="center"/>
    </xf>
    <xf numFmtId="10" fontId="0" fillId="7" borderId="0" xfId="2" applyNumberFormat="1" applyFont="1" applyFill="1" applyAlignment="1">
      <alignment horizontal="center"/>
    </xf>
    <xf numFmtId="10" fontId="0" fillId="7" borderId="0" xfId="2" applyNumberFormat="1" applyFont="1" applyFill="1" applyBorder="1" applyAlignment="1">
      <alignment horizontal="center"/>
    </xf>
    <xf numFmtId="166" fontId="24" fillId="0" borderId="0" xfId="0" applyNumberFormat="1" applyFont="1" applyAlignment="1">
      <alignment horizontal="center"/>
    </xf>
    <xf numFmtId="0" fontId="7" fillId="0" borderId="0" xfId="1" applyNumberFormat="1" applyFont="1" applyAlignment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27" fillId="8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left" vertical="center" readingOrder="1"/>
    </xf>
    <xf numFmtId="0" fontId="12" fillId="0" borderId="0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12" fillId="7" borderId="0" xfId="0" applyFont="1" applyFill="1" applyAlignment="1">
      <alignment horizontal="center"/>
    </xf>
    <xf numFmtId="0" fontId="12" fillId="7" borderId="0" xfId="0" applyFont="1" applyFill="1" applyAlignment="1">
      <alignment horizontal="left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174170</xdr:colOff>
      <xdr:row>16</xdr:row>
      <xdr:rowOff>204108</xdr:rowOff>
    </xdr:from>
    <xdr:to>
      <xdr:col>19</xdr:col>
      <xdr:colOff>140185</xdr:colOff>
      <xdr:row>33</xdr:row>
      <xdr:rowOff>106537</xdr:rowOff>
    </xdr:to>
    <xdr:pic>
      <xdr:nvPicPr>
        <xdr:cNvPr id="2" name="Picture 1" descr="Evaluation under CAMELS rating system ">
          <a:extLst>
            <a:ext uri="{FF2B5EF4-FFF2-40B4-BE49-F238E27FC236}">
              <a16:creationId xmlns:a16="http://schemas.microsoft.com/office/drawing/2014/main" id="{7010C4C7-A7D5-4675-919F-41EA487FA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0052" y="2983167"/>
          <a:ext cx="8045457" cy="27711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opLeftCell="A6" workbookViewId="0">
      <selection activeCell="F43" sqref="F43"/>
    </sheetView>
  </sheetViews>
  <sheetFormatPr defaultColWidth="9.16796875" defaultRowHeight="12.75" x14ac:dyDescent="0.15"/>
  <cols>
    <col min="1" max="4" width="9.16796875" style="3"/>
    <col min="5" max="5" width="9.84375" style="3" bestFit="1" customWidth="1"/>
    <col min="6" max="6" width="9.16796875" style="3"/>
    <col min="7" max="9" width="10.78515625" style="3" bestFit="1" customWidth="1"/>
    <col min="10" max="11" width="9.84375" style="3" bestFit="1" customWidth="1"/>
    <col min="12" max="12" width="17.39453125" style="3" customWidth="1"/>
    <col min="13" max="15" width="9.16796875" style="3"/>
    <col min="16" max="16" width="19.8203125" style="3" customWidth="1"/>
    <col min="17" max="17" width="15.37109375" style="3" customWidth="1"/>
    <col min="18" max="16384" width="9.16796875" style="3"/>
  </cols>
  <sheetData>
    <row r="1" spans="2:17" x14ac:dyDescent="0.15">
      <c r="Q1" s="4"/>
    </row>
    <row r="2" spans="2:17" x14ac:dyDescent="0.15">
      <c r="Q2" s="20"/>
    </row>
    <row r="3" spans="2:17" x14ac:dyDescent="0.15">
      <c r="G3" s="5">
        <v>2021</v>
      </c>
      <c r="H3" s="5">
        <v>2020</v>
      </c>
      <c r="I3" s="5">
        <v>2019</v>
      </c>
      <c r="J3" s="5">
        <v>2018</v>
      </c>
      <c r="K3" s="6">
        <v>2017</v>
      </c>
      <c r="Q3" s="21"/>
    </row>
    <row r="4" spans="2:17" x14ac:dyDescent="0.15">
      <c r="E4" s="27"/>
      <c r="G4" s="108" t="s">
        <v>17</v>
      </c>
      <c r="H4" s="108"/>
      <c r="I4" s="108"/>
      <c r="J4" s="108"/>
      <c r="K4" s="108"/>
      <c r="N4" s="7"/>
      <c r="Q4" s="8"/>
    </row>
    <row r="5" spans="2:17" x14ac:dyDescent="0.15">
      <c r="N5" s="7"/>
      <c r="Q5" s="8"/>
    </row>
    <row r="6" spans="2:17" x14ac:dyDescent="0.15">
      <c r="B6" s="107" t="s">
        <v>18</v>
      </c>
      <c r="C6" s="107"/>
      <c r="D6" s="107"/>
      <c r="E6" s="107"/>
      <c r="F6" s="107"/>
      <c r="G6" s="9">
        <v>132609303</v>
      </c>
      <c r="H6" s="9">
        <v>145772451</v>
      </c>
      <c r="I6" s="9">
        <v>148088700</v>
      </c>
      <c r="J6" s="9">
        <v>87502337</v>
      </c>
      <c r="K6" s="8">
        <v>76189800</v>
      </c>
      <c r="N6" s="7"/>
      <c r="Q6" s="8"/>
    </row>
    <row r="7" spans="2:17" x14ac:dyDescent="0.15">
      <c r="B7" s="107" t="s">
        <v>19</v>
      </c>
      <c r="C7" s="107"/>
      <c r="D7" s="107"/>
      <c r="E7" s="107"/>
      <c r="F7" s="107"/>
      <c r="G7" s="9">
        <v>64231302</v>
      </c>
      <c r="H7" s="25">
        <v>69929012</v>
      </c>
      <c r="I7" s="25">
        <v>84370609</v>
      </c>
      <c r="J7" s="25">
        <v>39495913</v>
      </c>
      <c r="K7" s="8">
        <v>32649614</v>
      </c>
      <c r="O7" s="7"/>
      <c r="Q7" s="8"/>
    </row>
    <row r="8" spans="2:17" x14ac:dyDescent="0.15">
      <c r="B8" s="107" t="s">
        <v>20</v>
      </c>
      <c r="C8" s="107"/>
      <c r="D8" s="107"/>
      <c r="E8" s="107"/>
      <c r="F8" s="107"/>
      <c r="G8" s="9">
        <v>68378001</v>
      </c>
      <c r="H8" s="9">
        <v>75843439</v>
      </c>
      <c r="I8" s="9">
        <v>63718091</v>
      </c>
      <c r="J8" s="9">
        <v>48006424</v>
      </c>
      <c r="K8" s="8">
        <v>43540186</v>
      </c>
      <c r="L8" s="27"/>
      <c r="N8" s="7"/>
      <c r="Q8" s="8"/>
    </row>
    <row r="9" spans="2:17" x14ac:dyDescent="0.15">
      <c r="B9" s="12"/>
      <c r="C9" s="12"/>
      <c r="D9" s="12"/>
      <c r="E9" s="12"/>
      <c r="F9" s="12"/>
      <c r="G9" s="10"/>
      <c r="H9" s="10"/>
      <c r="I9" s="10"/>
      <c r="J9" s="10"/>
      <c r="N9" s="7"/>
      <c r="Q9" s="8"/>
    </row>
    <row r="10" spans="2:17" x14ac:dyDescent="0.15">
      <c r="B10" s="107" t="s">
        <v>21</v>
      </c>
      <c r="C10" s="107"/>
      <c r="D10" s="107"/>
      <c r="E10" s="107"/>
      <c r="F10" s="107"/>
      <c r="G10" s="10"/>
      <c r="H10" s="10"/>
      <c r="I10" s="10"/>
      <c r="J10" s="10"/>
      <c r="K10" s="27"/>
      <c r="M10" s="7"/>
      <c r="Q10" s="8"/>
    </row>
    <row r="11" spans="2:17" x14ac:dyDescent="0.15">
      <c r="B11" s="107" t="s">
        <v>22</v>
      </c>
      <c r="C11" s="107"/>
      <c r="D11" s="107"/>
      <c r="E11" s="107"/>
      <c r="F11" s="107"/>
      <c r="G11" s="10"/>
      <c r="H11" s="10"/>
      <c r="I11" s="10"/>
      <c r="J11" s="10"/>
      <c r="N11" s="7"/>
      <c r="Q11" s="8"/>
    </row>
    <row r="12" spans="2:17" x14ac:dyDescent="0.15">
      <c r="B12" s="107" t="s">
        <v>23</v>
      </c>
      <c r="C12" s="107"/>
      <c r="D12" s="107"/>
      <c r="E12" s="107"/>
      <c r="F12" s="107"/>
      <c r="G12" s="9">
        <v>13691432</v>
      </c>
      <c r="H12" s="9">
        <v>11971491</v>
      </c>
      <c r="I12" s="9">
        <v>12230871</v>
      </c>
      <c r="J12" s="9">
        <v>11636751</v>
      </c>
      <c r="K12" s="19">
        <v>10454980</v>
      </c>
      <c r="L12" s="27"/>
      <c r="N12" s="7"/>
      <c r="Q12" s="8"/>
    </row>
    <row r="13" spans="2:17" x14ac:dyDescent="0.15">
      <c r="B13" s="107" t="s">
        <v>24</v>
      </c>
      <c r="C13" s="107"/>
      <c r="D13" s="107"/>
      <c r="E13" s="107"/>
      <c r="F13" s="107"/>
      <c r="G13" s="9">
        <v>1955213</v>
      </c>
      <c r="H13" s="25">
        <v>969322</v>
      </c>
      <c r="I13" s="25">
        <v>1240771</v>
      </c>
      <c r="J13" s="9">
        <v>1156944</v>
      </c>
      <c r="K13" s="19">
        <v>1632466</v>
      </c>
      <c r="N13" s="7"/>
    </row>
    <row r="14" spans="2:17" x14ac:dyDescent="0.15">
      <c r="B14" s="107" t="s">
        <v>25</v>
      </c>
      <c r="C14" s="107"/>
      <c r="D14" s="107"/>
      <c r="E14" s="107"/>
      <c r="F14" s="107"/>
      <c r="G14" s="9">
        <v>3847755</v>
      </c>
      <c r="H14" s="9">
        <v>2735228</v>
      </c>
      <c r="I14" s="9">
        <v>2957999</v>
      </c>
      <c r="J14" s="25">
        <v>3568576</v>
      </c>
      <c r="K14" s="26">
        <v>1677861</v>
      </c>
      <c r="L14" s="27"/>
      <c r="N14" s="7"/>
      <c r="Q14" s="11"/>
    </row>
    <row r="15" spans="2:17" x14ac:dyDescent="0.15">
      <c r="B15" s="107" t="s">
        <v>26</v>
      </c>
      <c r="C15" s="107"/>
      <c r="D15" s="107"/>
      <c r="E15" s="107"/>
      <c r="F15" s="107"/>
      <c r="G15" s="9">
        <v>14035</v>
      </c>
      <c r="H15" s="25">
        <v>4087</v>
      </c>
      <c r="I15" s="25">
        <v>14616</v>
      </c>
      <c r="J15" s="9">
        <v>11845</v>
      </c>
      <c r="K15" s="19">
        <v>15487</v>
      </c>
      <c r="M15" s="7"/>
      <c r="Q15" s="8"/>
    </row>
    <row r="16" spans="2:17" x14ac:dyDescent="0.15">
      <c r="B16" s="107" t="s">
        <v>27</v>
      </c>
      <c r="C16" s="107"/>
      <c r="D16" s="107"/>
      <c r="E16" s="107"/>
      <c r="F16" s="107"/>
      <c r="G16" s="25">
        <v>262835</v>
      </c>
      <c r="H16" s="25">
        <v>3396296</v>
      </c>
      <c r="I16" s="25">
        <v>828873</v>
      </c>
      <c r="J16" s="25">
        <v>1257148</v>
      </c>
      <c r="K16" s="19">
        <v>4666214</v>
      </c>
      <c r="N16" s="7"/>
      <c r="Q16" s="8"/>
    </row>
    <row r="17" spans="1:17" x14ac:dyDescent="0.15">
      <c r="B17" s="107" t="s">
        <v>28</v>
      </c>
      <c r="C17" s="107"/>
      <c r="D17" s="107"/>
      <c r="E17" s="107"/>
      <c r="F17" s="107"/>
      <c r="G17" s="25">
        <v>883253</v>
      </c>
      <c r="H17" s="25">
        <v>192103</v>
      </c>
      <c r="I17" s="9">
        <v>244551</v>
      </c>
      <c r="J17" s="9">
        <v>434351</v>
      </c>
      <c r="K17" s="19">
        <v>51203</v>
      </c>
      <c r="Q17" s="8"/>
    </row>
    <row r="18" spans="1:17" x14ac:dyDescent="0.15">
      <c r="B18" s="107" t="s">
        <v>29</v>
      </c>
      <c r="C18" s="107"/>
      <c r="D18" s="107"/>
      <c r="E18" s="107"/>
      <c r="F18" s="107"/>
      <c r="G18" s="9">
        <v>20654523</v>
      </c>
      <c r="H18" s="9">
        <v>19268527</v>
      </c>
      <c r="I18" s="9">
        <v>17517681</v>
      </c>
      <c r="J18" s="9">
        <v>18065615</v>
      </c>
      <c r="K18" s="19">
        <v>18498211</v>
      </c>
      <c r="N18" s="7"/>
    </row>
    <row r="19" spans="1:17" x14ac:dyDescent="0.15">
      <c r="B19" s="107" t="s">
        <v>30</v>
      </c>
      <c r="C19" s="107"/>
      <c r="D19" s="107"/>
      <c r="E19" s="107"/>
      <c r="F19" s="107"/>
      <c r="G19" s="9">
        <v>89032524</v>
      </c>
      <c r="H19" s="9">
        <v>95111966</v>
      </c>
      <c r="I19" s="9">
        <v>81235772</v>
      </c>
      <c r="J19" s="9">
        <v>66072039</v>
      </c>
      <c r="K19" s="19">
        <f>K8+K18</f>
        <v>62038397</v>
      </c>
      <c r="N19" s="7"/>
      <c r="Q19" s="8"/>
    </row>
    <row r="20" spans="1:17" x14ac:dyDescent="0.15">
      <c r="B20" s="107" t="s">
        <v>31</v>
      </c>
      <c r="C20" s="107"/>
      <c r="D20" s="107"/>
      <c r="E20" s="107"/>
      <c r="F20" s="107"/>
      <c r="G20" s="10"/>
      <c r="H20" s="10"/>
      <c r="I20" s="10"/>
      <c r="J20" s="10"/>
      <c r="M20" s="7"/>
      <c r="N20" s="7"/>
      <c r="Q20" s="8"/>
    </row>
    <row r="21" spans="1:17" x14ac:dyDescent="0.15">
      <c r="B21" s="107" t="s">
        <v>32</v>
      </c>
      <c r="C21" s="107"/>
      <c r="D21" s="107"/>
      <c r="E21" s="107"/>
      <c r="F21" s="107"/>
      <c r="G21" s="9">
        <v>40589732</v>
      </c>
      <c r="H21" s="9">
        <v>37763917</v>
      </c>
      <c r="I21" s="9">
        <v>37685431</v>
      </c>
      <c r="J21" s="9">
        <v>35715447</v>
      </c>
      <c r="K21" s="19">
        <v>30297380</v>
      </c>
      <c r="M21" s="7"/>
      <c r="Q21" s="8"/>
    </row>
    <row r="22" spans="1:17" x14ac:dyDescent="0.15">
      <c r="B22" s="107" t="s">
        <v>33</v>
      </c>
      <c r="C22" s="107"/>
      <c r="D22" s="107"/>
      <c r="E22" s="107"/>
      <c r="F22" s="107"/>
      <c r="G22" s="9">
        <v>1058419</v>
      </c>
      <c r="H22" s="9">
        <v>974808</v>
      </c>
      <c r="I22" s="9">
        <v>802046</v>
      </c>
      <c r="J22" s="9">
        <v>644304</v>
      </c>
      <c r="K22" s="19">
        <v>625969</v>
      </c>
      <c r="N22" s="7"/>
      <c r="Q22" s="8"/>
    </row>
    <row r="23" spans="1:17" x14ac:dyDescent="0.15">
      <c r="B23" s="107" t="s">
        <v>34</v>
      </c>
      <c r="C23" s="107"/>
      <c r="D23" s="107"/>
      <c r="E23" s="107"/>
      <c r="F23" s="107"/>
      <c r="G23" s="25">
        <v>525339</v>
      </c>
      <c r="H23" s="25">
        <v>297987</v>
      </c>
      <c r="I23" s="9">
        <v>260743</v>
      </c>
      <c r="J23" s="9">
        <v>174431</v>
      </c>
      <c r="K23" s="19">
        <v>142953</v>
      </c>
      <c r="N23" s="7"/>
      <c r="Q23" s="8"/>
    </row>
    <row r="24" spans="1:17" x14ac:dyDescent="0.15">
      <c r="B24" s="107" t="s">
        <v>35</v>
      </c>
      <c r="C24" s="107"/>
      <c r="D24" s="107"/>
      <c r="E24" s="107"/>
      <c r="F24" s="107"/>
      <c r="G24" s="9">
        <v>42173490</v>
      </c>
      <c r="H24" s="9">
        <v>39036712</v>
      </c>
      <c r="I24" s="9">
        <v>38748220</v>
      </c>
      <c r="J24" s="9">
        <v>36534182</v>
      </c>
      <c r="K24" s="19">
        <v>31066302</v>
      </c>
      <c r="N24" s="7"/>
    </row>
    <row r="25" spans="1:17" x14ac:dyDescent="0.15">
      <c r="B25" s="107" t="s">
        <v>36</v>
      </c>
      <c r="C25" s="107"/>
      <c r="D25" s="107"/>
      <c r="E25" s="107"/>
      <c r="F25" s="107"/>
      <c r="G25" s="25">
        <v>943587</v>
      </c>
      <c r="H25" s="25">
        <v>573078</v>
      </c>
      <c r="I25" s="9">
        <v>339633</v>
      </c>
      <c r="J25" s="9">
        <v>446257</v>
      </c>
      <c r="K25" s="19">
        <v>433119</v>
      </c>
      <c r="N25" s="7"/>
      <c r="Q25" s="8"/>
    </row>
    <row r="26" spans="1:17" x14ac:dyDescent="0.15">
      <c r="B26" s="107" t="s">
        <v>15</v>
      </c>
      <c r="C26" s="107"/>
      <c r="D26" s="107"/>
      <c r="E26" s="107"/>
      <c r="F26" s="107"/>
      <c r="G26" s="9">
        <v>47802621</v>
      </c>
      <c r="H26" s="9">
        <v>56648332</v>
      </c>
      <c r="I26" s="9">
        <v>42827185</v>
      </c>
      <c r="J26" s="9">
        <v>29984114</v>
      </c>
      <c r="K26" s="19">
        <v>31661112</v>
      </c>
      <c r="M26" s="7"/>
      <c r="N26" s="7"/>
      <c r="Q26" s="8"/>
    </row>
    <row r="27" spans="1:17" x14ac:dyDescent="0.15">
      <c r="A27" s="24" t="s">
        <v>54</v>
      </c>
      <c r="B27" s="107" t="s">
        <v>37</v>
      </c>
      <c r="C27" s="107"/>
      <c r="D27" s="107"/>
      <c r="E27" s="107"/>
      <c r="F27" s="107"/>
      <c r="G27" s="25">
        <v>-5472779</v>
      </c>
      <c r="H27" s="25">
        <v>7330044</v>
      </c>
      <c r="I27" s="25">
        <v>2673592</v>
      </c>
      <c r="J27" s="25">
        <v>-821807</v>
      </c>
      <c r="K27" s="19">
        <v>1047405</v>
      </c>
      <c r="L27" s="24" t="s">
        <v>55</v>
      </c>
      <c r="N27" s="7"/>
      <c r="Q27" s="8"/>
    </row>
    <row r="28" spans="1:17" x14ac:dyDescent="0.15">
      <c r="B28" s="107" t="s">
        <v>38</v>
      </c>
      <c r="C28" s="107"/>
      <c r="D28" s="107"/>
      <c r="E28" s="107"/>
      <c r="F28" s="107"/>
      <c r="G28" s="10"/>
      <c r="H28" s="10"/>
      <c r="I28" s="10"/>
      <c r="J28" s="10"/>
      <c r="N28" s="7"/>
      <c r="Q28" s="8"/>
    </row>
    <row r="29" spans="1:17" x14ac:dyDescent="0.15">
      <c r="B29" s="107" t="s">
        <v>39</v>
      </c>
      <c r="C29" s="107"/>
      <c r="D29" s="107"/>
      <c r="E29" s="107"/>
      <c r="F29" s="107"/>
      <c r="G29" s="9">
        <v>53275400</v>
      </c>
      <c r="H29" s="9">
        <v>49318288</v>
      </c>
      <c r="I29" s="9">
        <v>40153593</v>
      </c>
      <c r="J29" s="9">
        <v>30805921</v>
      </c>
      <c r="K29" s="19">
        <v>30613707</v>
      </c>
      <c r="N29" s="7"/>
      <c r="Q29" s="8"/>
    </row>
    <row r="30" spans="1:17" x14ac:dyDescent="0.15">
      <c r="B30" s="107" t="s">
        <v>16</v>
      </c>
      <c r="C30" s="107"/>
      <c r="D30" s="107"/>
      <c r="E30" s="107"/>
      <c r="F30" s="107"/>
      <c r="G30" s="9">
        <v>21947646</v>
      </c>
      <c r="H30" s="9">
        <v>19756019</v>
      </c>
      <c r="I30" s="9">
        <v>16206382</v>
      </c>
      <c r="J30" s="9">
        <v>10390637</v>
      </c>
      <c r="K30" s="19">
        <v>8565943</v>
      </c>
      <c r="Q30" s="8"/>
    </row>
    <row r="31" spans="1:17" x14ac:dyDescent="0.15">
      <c r="B31" s="107" t="s">
        <v>40</v>
      </c>
      <c r="C31" s="107"/>
      <c r="D31" s="107"/>
      <c r="E31" s="107"/>
      <c r="F31" s="107"/>
      <c r="G31" s="9">
        <v>31327754</v>
      </c>
      <c r="H31" s="9">
        <v>29562269</v>
      </c>
      <c r="I31" s="9">
        <v>23947211</v>
      </c>
      <c r="J31" s="9">
        <v>20415284</v>
      </c>
      <c r="K31" s="19">
        <v>22047764</v>
      </c>
      <c r="N31" s="7"/>
      <c r="Q31" s="8"/>
    </row>
    <row r="32" spans="1:17" x14ac:dyDescent="0.15">
      <c r="B32" s="107" t="s">
        <v>41</v>
      </c>
      <c r="C32" s="107"/>
      <c r="D32" s="107"/>
      <c r="E32" s="107"/>
      <c r="F32" s="107"/>
      <c r="G32" s="10"/>
      <c r="H32" s="10"/>
      <c r="N32" s="7"/>
      <c r="Q32" s="8"/>
    </row>
    <row r="33" spans="2:17" x14ac:dyDescent="0.15">
      <c r="B33" s="107" t="s">
        <v>42</v>
      </c>
      <c r="C33" s="107"/>
      <c r="D33" s="107"/>
      <c r="E33" s="107"/>
      <c r="F33" s="107"/>
      <c r="G33" s="9">
        <v>31179708</v>
      </c>
      <c r="H33" s="9">
        <v>29410227</v>
      </c>
      <c r="I33" s="9">
        <v>23868249</v>
      </c>
      <c r="J33" s="9">
        <v>20352756</v>
      </c>
      <c r="K33" s="19">
        <v>21963146</v>
      </c>
      <c r="N33" s="7"/>
      <c r="Q33" s="8"/>
    </row>
    <row r="34" spans="2:17" x14ac:dyDescent="0.15">
      <c r="B34" s="107" t="s">
        <v>43</v>
      </c>
      <c r="C34" s="107"/>
      <c r="D34" s="107"/>
      <c r="E34" s="107"/>
      <c r="F34" s="107"/>
      <c r="G34" s="9">
        <v>148046</v>
      </c>
      <c r="H34" s="9">
        <v>152042</v>
      </c>
      <c r="I34" s="9">
        <v>78962</v>
      </c>
      <c r="J34" s="9">
        <v>62528</v>
      </c>
      <c r="K34" s="19">
        <v>84618</v>
      </c>
      <c r="N34" s="7"/>
      <c r="P34" s="7"/>
      <c r="Q34" s="13"/>
    </row>
    <row r="35" spans="2:17" x14ac:dyDescent="0.15">
      <c r="G35" s="9">
        <v>31327754</v>
      </c>
      <c r="H35" s="9">
        <v>29562269</v>
      </c>
      <c r="I35" s="27">
        <f>I33+I34</f>
        <v>23947211</v>
      </c>
      <c r="J35" s="27">
        <f t="shared" ref="J35:K35" si="0">J33+J34</f>
        <v>20415284</v>
      </c>
      <c r="K35" s="27">
        <f t="shared" si="0"/>
        <v>22047764</v>
      </c>
    </row>
    <row r="38" spans="2:17" x14ac:dyDescent="0.15">
      <c r="L38" s="27"/>
    </row>
    <row r="41" spans="2:17" x14ac:dyDescent="0.15">
      <c r="D41" s="109" t="s">
        <v>79</v>
      </c>
      <c r="E41" s="109"/>
      <c r="F41" s="109"/>
      <c r="G41" s="27">
        <f>G8+G18</f>
        <v>89032524</v>
      </c>
      <c r="H41" s="27">
        <f t="shared" ref="H41:J41" si="1">H8+H18</f>
        <v>95111966</v>
      </c>
      <c r="I41" s="27">
        <f t="shared" si="1"/>
        <v>81235772</v>
      </c>
      <c r="J41" s="27">
        <f t="shared" si="1"/>
        <v>66072039</v>
      </c>
      <c r="K41" s="27">
        <f>K8+K18</f>
        <v>62038397</v>
      </c>
    </row>
    <row r="42" spans="2:17" x14ac:dyDescent="0.15">
      <c r="D42" s="109" t="s">
        <v>80</v>
      </c>
      <c r="E42" s="109"/>
      <c r="F42" s="109"/>
      <c r="G42" s="27">
        <f>G7+G24</f>
        <v>106404792</v>
      </c>
      <c r="H42" s="27">
        <f t="shared" ref="H42:K42" si="2">H7+H24</f>
        <v>108965724</v>
      </c>
      <c r="I42" s="27">
        <f t="shared" si="2"/>
        <v>123118829</v>
      </c>
      <c r="J42" s="27">
        <f t="shared" si="2"/>
        <v>76030095</v>
      </c>
      <c r="K42" s="27">
        <f t="shared" si="2"/>
        <v>63715916</v>
      </c>
    </row>
  </sheetData>
  <mergeCells count="31">
    <mergeCell ref="D41:F41"/>
    <mergeCell ref="D42:F42"/>
    <mergeCell ref="B33:F33"/>
    <mergeCell ref="B34:F34"/>
    <mergeCell ref="B27:F27"/>
    <mergeCell ref="B28:F28"/>
    <mergeCell ref="B29:F29"/>
    <mergeCell ref="B30:F30"/>
    <mergeCell ref="B31:F31"/>
    <mergeCell ref="B32:F32"/>
    <mergeCell ref="G4:K4"/>
    <mergeCell ref="B26:F26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14:F14"/>
    <mergeCell ref="B6:F6"/>
    <mergeCell ref="B7:F7"/>
    <mergeCell ref="B8:F8"/>
    <mergeCell ref="B10:F10"/>
    <mergeCell ref="B11:F11"/>
    <mergeCell ref="B12:F12"/>
    <mergeCell ref="B13:F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56"/>
  <sheetViews>
    <sheetView workbookViewId="0">
      <selection activeCell="D37" sqref="D37:H37"/>
    </sheetView>
  </sheetViews>
  <sheetFormatPr defaultRowHeight="12.75" x14ac:dyDescent="0.15"/>
  <cols>
    <col min="3" max="3" width="32.90234375" bestFit="1" customWidth="1"/>
    <col min="4" max="8" width="12.67578125" bestFit="1" customWidth="1"/>
    <col min="11" max="11" width="49.21875" customWidth="1"/>
    <col min="12" max="16" width="12.67578125" bestFit="1" customWidth="1"/>
  </cols>
  <sheetData>
    <row r="2" spans="3:16" x14ac:dyDescent="0.15">
      <c r="L2" s="2"/>
    </row>
    <row r="3" spans="3:16" x14ac:dyDescent="0.15">
      <c r="D3" s="14">
        <v>2021</v>
      </c>
      <c r="E3" s="14">
        <v>2020</v>
      </c>
      <c r="F3" s="14">
        <v>2019</v>
      </c>
      <c r="G3" s="14">
        <v>2018</v>
      </c>
      <c r="H3" s="14">
        <v>2017</v>
      </c>
    </row>
    <row r="4" spans="3:16" x14ac:dyDescent="0.15">
      <c r="D4" s="15" t="s">
        <v>53</v>
      </c>
      <c r="E4" s="16"/>
      <c r="F4" s="15"/>
      <c r="G4" s="16"/>
      <c r="H4" s="17"/>
      <c r="L4" s="2"/>
    </row>
    <row r="5" spans="3:16" ht="13.5" x14ac:dyDescent="0.15">
      <c r="C5" s="37" t="s">
        <v>44</v>
      </c>
      <c r="K5" s="44" t="s">
        <v>85</v>
      </c>
    </row>
    <row r="6" spans="3:16" x14ac:dyDescent="0.15">
      <c r="C6" s="1" t="s">
        <v>0</v>
      </c>
      <c r="D6" s="2">
        <v>175922469</v>
      </c>
      <c r="E6" s="2">
        <v>132053041</v>
      </c>
      <c r="F6" s="2">
        <v>142957358</v>
      </c>
      <c r="G6" s="2">
        <v>110165006</v>
      </c>
      <c r="H6" s="2">
        <v>109462902</v>
      </c>
      <c r="K6" s="1"/>
      <c r="L6" s="14">
        <v>2021</v>
      </c>
      <c r="M6" s="14">
        <v>2020</v>
      </c>
      <c r="N6" s="14">
        <v>2019</v>
      </c>
      <c r="O6" s="14">
        <v>2018</v>
      </c>
      <c r="P6" s="14">
        <v>2017</v>
      </c>
    </row>
    <row r="7" spans="3:16" ht="13.5" x14ac:dyDescent="0.15">
      <c r="C7" s="1" t="s">
        <v>1</v>
      </c>
      <c r="D7" s="2">
        <v>22554329</v>
      </c>
      <c r="E7" s="2">
        <v>29011521</v>
      </c>
      <c r="F7" s="2">
        <v>21371753</v>
      </c>
      <c r="G7" s="2">
        <v>13338117</v>
      </c>
      <c r="H7" s="2">
        <v>7348882</v>
      </c>
      <c r="K7" s="64" t="s">
        <v>1</v>
      </c>
      <c r="L7" s="54">
        <v>22554329</v>
      </c>
      <c r="M7" s="54">
        <v>29011521</v>
      </c>
      <c r="N7" s="54">
        <v>21371753</v>
      </c>
      <c r="O7" s="54">
        <v>13338117</v>
      </c>
      <c r="P7" s="54">
        <v>7348882</v>
      </c>
    </row>
    <row r="8" spans="3:16" ht="13.5" x14ac:dyDescent="0.15">
      <c r="C8" s="1" t="s">
        <v>2</v>
      </c>
      <c r="D8" s="22">
        <v>40617110</v>
      </c>
      <c r="E8" s="22">
        <v>17968243</v>
      </c>
      <c r="F8" s="2">
        <v>6060869</v>
      </c>
      <c r="G8" s="22">
        <v>39149890</v>
      </c>
      <c r="H8" s="22">
        <v>5273524</v>
      </c>
      <c r="K8" s="64" t="s">
        <v>87</v>
      </c>
      <c r="L8" s="66">
        <f>L32</f>
        <v>12146594</v>
      </c>
      <c r="M8" s="66">
        <f>M32</f>
        <v>26778002</v>
      </c>
      <c r="N8" s="66">
        <f>N32</f>
        <v>12847895</v>
      </c>
      <c r="O8" s="66">
        <f>O32</f>
        <v>9679255</v>
      </c>
      <c r="P8" s="66">
        <f>P32</f>
        <v>3219973</v>
      </c>
    </row>
    <row r="9" spans="3:16" ht="13.5" x14ac:dyDescent="0.15">
      <c r="C9" s="1" t="s">
        <v>3</v>
      </c>
      <c r="D9" s="2">
        <v>1062568511</v>
      </c>
      <c r="E9" s="22">
        <v>1036217535</v>
      </c>
      <c r="F9" s="22">
        <v>757441590</v>
      </c>
      <c r="G9" s="2">
        <v>754385775</v>
      </c>
      <c r="H9" s="2">
        <v>660070246</v>
      </c>
      <c r="K9" s="64" t="s">
        <v>86</v>
      </c>
      <c r="L9" s="66">
        <v>40617110</v>
      </c>
      <c r="M9" s="66">
        <v>17968243</v>
      </c>
      <c r="N9" s="66">
        <v>6060869</v>
      </c>
      <c r="O9" s="66">
        <v>39149890</v>
      </c>
      <c r="P9" s="66">
        <v>5273524</v>
      </c>
    </row>
    <row r="10" spans="3:16" ht="13.5" x14ac:dyDescent="0.15">
      <c r="C10" s="1" t="s">
        <v>4</v>
      </c>
      <c r="D10" s="2">
        <v>686388652</v>
      </c>
      <c r="E10" s="2">
        <v>547685708</v>
      </c>
      <c r="F10" s="2">
        <v>548472860</v>
      </c>
      <c r="G10" s="2">
        <v>566792265</v>
      </c>
      <c r="H10" s="2">
        <v>500965801</v>
      </c>
      <c r="K10" s="64" t="s">
        <v>3</v>
      </c>
      <c r="L10" s="66">
        <v>1062568511</v>
      </c>
      <c r="M10" s="66">
        <v>1036217535</v>
      </c>
      <c r="N10" s="66">
        <v>757441590</v>
      </c>
      <c r="O10" s="66">
        <v>754385775</v>
      </c>
      <c r="P10" s="66">
        <v>660070246</v>
      </c>
    </row>
    <row r="11" spans="3:16" ht="13.5" x14ac:dyDescent="0.15">
      <c r="C11" s="1" t="s">
        <v>5</v>
      </c>
      <c r="D11" s="2">
        <v>62351545</v>
      </c>
      <c r="E11" s="22">
        <v>63679312</v>
      </c>
      <c r="F11" s="22">
        <v>64201807</v>
      </c>
      <c r="G11" s="2">
        <v>43531396</v>
      </c>
      <c r="H11" s="2">
        <v>42565448</v>
      </c>
      <c r="K11" s="64" t="s">
        <v>4</v>
      </c>
      <c r="L11" s="54">
        <v>686388652</v>
      </c>
      <c r="M11" s="54">
        <v>547685708</v>
      </c>
      <c r="N11" s="54">
        <v>548472860</v>
      </c>
      <c r="O11" s="54">
        <v>566792265</v>
      </c>
      <c r="P11" s="54">
        <v>500965801</v>
      </c>
    </row>
    <row r="12" spans="3:16" x14ac:dyDescent="0.15">
      <c r="C12" s="1" t="s">
        <v>6</v>
      </c>
      <c r="D12" s="2">
        <v>1838136</v>
      </c>
      <c r="E12" s="2">
        <v>1867244</v>
      </c>
      <c r="F12" s="2">
        <v>1978975</v>
      </c>
      <c r="G12" s="2">
        <v>1452462</v>
      </c>
      <c r="H12" s="18">
        <v>1173561</v>
      </c>
      <c r="K12" s="43"/>
      <c r="L12" s="60">
        <f>L7-L8+L9+L10+L11</f>
        <v>1799982008</v>
      </c>
      <c r="M12" s="60">
        <f t="shared" ref="M12:P12" si="0">M7-M8+M9+M10+M11</f>
        <v>1604105005</v>
      </c>
      <c r="N12" s="60">
        <f t="shared" si="0"/>
        <v>1320499177</v>
      </c>
      <c r="O12" s="60">
        <f t="shared" si="0"/>
        <v>1363986792</v>
      </c>
      <c r="P12" s="60">
        <f t="shared" si="0"/>
        <v>1170438480</v>
      </c>
    </row>
    <row r="13" spans="3:16" ht="13.5" x14ac:dyDescent="0.15">
      <c r="C13" s="1" t="s">
        <v>45</v>
      </c>
      <c r="L13" s="57"/>
      <c r="M13" s="56"/>
      <c r="N13" s="56"/>
      <c r="O13" s="56"/>
      <c r="P13" s="56"/>
    </row>
    <row r="14" spans="3:16" ht="13.5" x14ac:dyDescent="0.15">
      <c r="C14" s="1" t="s">
        <v>7</v>
      </c>
      <c r="D14" s="2">
        <v>69880727</v>
      </c>
      <c r="E14" s="2">
        <v>62793791</v>
      </c>
      <c r="F14" s="2">
        <v>69729659</v>
      </c>
      <c r="G14" s="2">
        <v>56395096</v>
      </c>
      <c r="H14" s="18">
        <v>63805253</v>
      </c>
      <c r="K14" s="64" t="s">
        <v>0</v>
      </c>
      <c r="L14" s="54">
        <v>175922469</v>
      </c>
      <c r="M14" s="54">
        <v>132053041</v>
      </c>
      <c r="N14" s="54">
        <v>142957358</v>
      </c>
      <c r="O14" s="54">
        <v>110165006</v>
      </c>
      <c r="P14" s="54">
        <v>109462902</v>
      </c>
    </row>
    <row r="15" spans="3:16" ht="13.5" x14ac:dyDescent="0.15">
      <c r="C15" s="58" t="s">
        <v>60</v>
      </c>
      <c r="D15" s="59">
        <v>2122121479</v>
      </c>
      <c r="E15" s="59">
        <v>1891276395</v>
      </c>
      <c r="F15" s="59">
        <v>1612214871</v>
      </c>
      <c r="G15" s="59">
        <v>1585210007</v>
      </c>
      <c r="H15" s="59">
        <v>1389492056</v>
      </c>
      <c r="K15" s="64" t="s">
        <v>105</v>
      </c>
      <c r="L15" s="54">
        <v>31584636</v>
      </c>
      <c r="M15" s="54">
        <v>32127643</v>
      </c>
      <c r="N15" s="54">
        <v>23635710</v>
      </c>
      <c r="O15" s="54">
        <v>21516831</v>
      </c>
      <c r="P15" s="54">
        <v>22560179</v>
      </c>
    </row>
    <row r="16" spans="3:16" ht="13.5" x14ac:dyDescent="0.15">
      <c r="D16" s="2"/>
      <c r="E16" s="2"/>
      <c r="F16" s="2"/>
      <c r="G16" s="2"/>
      <c r="H16" s="18"/>
      <c r="K16" s="64" t="s">
        <v>107</v>
      </c>
      <c r="L16" s="54">
        <v>89811750</v>
      </c>
      <c r="M16" s="54">
        <v>51920851</v>
      </c>
      <c r="N16" s="54">
        <v>62180493</v>
      </c>
      <c r="O16" s="54">
        <v>43735552</v>
      </c>
      <c r="P16" s="54">
        <v>48926928</v>
      </c>
    </row>
    <row r="17" spans="2:16" ht="13.5" x14ac:dyDescent="0.15">
      <c r="C17" s="1" t="s">
        <v>46</v>
      </c>
      <c r="K17" s="64" t="s">
        <v>108</v>
      </c>
      <c r="L17" s="54">
        <v>2937151</v>
      </c>
      <c r="M17" s="54">
        <v>2271659</v>
      </c>
      <c r="N17" s="54">
        <v>599384</v>
      </c>
      <c r="O17" s="54">
        <v>571438</v>
      </c>
      <c r="P17" s="54">
        <v>309346</v>
      </c>
    </row>
    <row r="18" spans="2:16" ht="13.5" x14ac:dyDescent="0.15">
      <c r="C18" s="1" t="s">
        <v>8</v>
      </c>
      <c r="D18" s="2">
        <v>26486445</v>
      </c>
      <c r="E18" s="22">
        <v>26451513</v>
      </c>
      <c r="F18" s="22">
        <v>12795325</v>
      </c>
      <c r="G18" s="22">
        <v>17003272</v>
      </c>
      <c r="H18" s="22">
        <v>22994877</v>
      </c>
      <c r="K18" s="64" t="s">
        <v>109</v>
      </c>
      <c r="L18" s="54">
        <v>6728135</v>
      </c>
      <c r="M18" s="54">
        <v>11851311</v>
      </c>
      <c r="N18" s="54">
        <v>16220148</v>
      </c>
      <c r="O18" s="54">
        <v>5197681</v>
      </c>
      <c r="P18" s="54">
        <v>6809706</v>
      </c>
    </row>
    <row r="19" spans="2:16" ht="13.5" x14ac:dyDescent="0.15">
      <c r="C19" s="1" t="s">
        <v>9</v>
      </c>
      <c r="D19" s="22">
        <v>282898882</v>
      </c>
      <c r="E19" s="22">
        <v>184577340</v>
      </c>
      <c r="F19" s="22">
        <v>92859968</v>
      </c>
      <c r="G19" s="22">
        <v>223216115</v>
      </c>
      <c r="H19" s="22">
        <v>140462138</v>
      </c>
      <c r="K19" s="64" t="s">
        <v>106</v>
      </c>
      <c r="L19" s="54">
        <v>34016028</v>
      </c>
      <c r="M19" s="54">
        <v>22308442</v>
      </c>
      <c r="N19" s="54">
        <v>25666525</v>
      </c>
      <c r="O19" s="54">
        <v>26181864</v>
      </c>
      <c r="P19" s="54">
        <v>21424315</v>
      </c>
    </row>
    <row r="20" spans="2:16" x14ac:dyDescent="0.15">
      <c r="C20" s="1" t="s">
        <v>47</v>
      </c>
      <c r="D20" s="2">
        <v>1534586671</v>
      </c>
      <c r="E20" s="2">
        <v>1388737961</v>
      </c>
      <c r="F20" s="2">
        <v>1226593025</v>
      </c>
      <c r="G20" s="2">
        <v>1122306535</v>
      </c>
      <c r="H20" s="2">
        <v>1001146162</v>
      </c>
    </row>
    <row r="21" spans="2:16" ht="13.5" x14ac:dyDescent="0.15">
      <c r="C21" s="1" t="s">
        <v>48</v>
      </c>
      <c r="L21" s="53">
        <f>L14-SUM(L15:L19)</f>
        <v>10844769</v>
      </c>
      <c r="M21" s="53">
        <f>M14-SUM(M15:M19)</f>
        <v>11573135</v>
      </c>
      <c r="N21" s="53">
        <f>N14-SUM(N15:N19)</f>
        <v>14655098</v>
      </c>
      <c r="O21" s="53">
        <f>O14-SUM(O15:O19)</f>
        <v>12961640</v>
      </c>
      <c r="P21" s="53">
        <f>P14-SUM(P15:P19)</f>
        <v>9432428</v>
      </c>
    </row>
    <row r="22" spans="2:16" x14ac:dyDescent="0.15">
      <c r="C22" s="1" t="s">
        <v>49</v>
      </c>
      <c r="G22" s="2">
        <v>3891019</v>
      </c>
      <c r="H22" s="18">
        <v>3892578</v>
      </c>
    </row>
    <row r="23" spans="2:16" ht="13.5" x14ac:dyDescent="0.15">
      <c r="C23" s="1" t="s">
        <v>10</v>
      </c>
      <c r="D23" s="22">
        <v>1578782</v>
      </c>
      <c r="E23" s="22">
        <v>7491040</v>
      </c>
      <c r="F23" s="22">
        <v>6214223</v>
      </c>
      <c r="G23" s="22">
        <v>1983145</v>
      </c>
      <c r="H23" s="22">
        <v>5661073</v>
      </c>
      <c r="K23" s="45" t="s">
        <v>70</v>
      </c>
      <c r="L23" s="61">
        <f>L12+L21</f>
        <v>1810826777</v>
      </c>
      <c r="M23" s="61">
        <f t="shared" ref="M23:P23" si="1">M12+M21</f>
        <v>1615678140</v>
      </c>
      <c r="N23" s="61">
        <f t="shared" si="1"/>
        <v>1335154275</v>
      </c>
      <c r="O23" s="61">
        <f t="shared" si="1"/>
        <v>1376948432</v>
      </c>
      <c r="P23" s="61">
        <f t="shared" si="1"/>
        <v>1179870908</v>
      </c>
    </row>
    <row r="24" spans="2:16" x14ac:dyDescent="0.15">
      <c r="C24" s="1" t="s">
        <v>11</v>
      </c>
      <c r="D24" s="2">
        <v>99002039</v>
      </c>
      <c r="E24" s="2">
        <v>91027158</v>
      </c>
      <c r="F24" s="22">
        <v>102405513</v>
      </c>
      <c r="G24" s="22">
        <v>65487042</v>
      </c>
      <c r="H24" s="18">
        <v>58792147</v>
      </c>
    </row>
    <row r="25" spans="2:16" x14ac:dyDescent="0.15">
      <c r="C25" s="58" t="s">
        <v>59</v>
      </c>
      <c r="D25" s="59">
        <v>1944552819</v>
      </c>
      <c r="E25" s="59">
        <v>1698285012</v>
      </c>
      <c r="F25" s="59">
        <v>1440868054</v>
      </c>
      <c r="G25" s="59">
        <v>1433887128</v>
      </c>
      <c r="H25" s="59">
        <v>1232948975</v>
      </c>
    </row>
    <row r="26" spans="2:16" x14ac:dyDescent="0.15">
      <c r="C26" s="58" t="s">
        <v>50</v>
      </c>
      <c r="D26" s="59">
        <v>177568660</v>
      </c>
      <c r="E26" s="59">
        <v>192991383</v>
      </c>
      <c r="F26" s="59">
        <v>171346817</v>
      </c>
      <c r="G26" s="59">
        <v>151322879</v>
      </c>
      <c r="H26" s="59">
        <v>156543081</v>
      </c>
    </row>
    <row r="27" spans="2:16" x14ac:dyDescent="0.15">
      <c r="C27" s="1"/>
      <c r="D27" s="2"/>
      <c r="E27" s="2"/>
      <c r="F27" s="2"/>
      <c r="G27" s="2"/>
      <c r="H27" s="18"/>
      <c r="K27" s="1"/>
    </row>
    <row r="28" spans="2:16" ht="13.5" x14ac:dyDescent="0.15">
      <c r="C28" s="37" t="s">
        <v>51</v>
      </c>
      <c r="K28" s="45" t="s">
        <v>104</v>
      </c>
      <c r="L28" s="46">
        <v>2021</v>
      </c>
      <c r="M28" s="46">
        <v>2020</v>
      </c>
      <c r="N28" s="46">
        <v>2019</v>
      </c>
      <c r="O28" s="46">
        <v>2018</v>
      </c>
      <c r="P28" s="46">
        <v>2017</v>
      </c>
    </row>
    <row r="29" spans="2:16" ht="13.5" x14ac:dyDescent="0.15">
      <c r="C29" s="1" t="s">
        <v>12</v>
      </c>
      <c r="D29" s="2">
        <v>11850600</v>
      </c>
      <c r="E29" s="2">
        <v>11850600</v>
      </c>
      <c r="F29" s="2">
        <v>11850600</v>
      </c>
      <c r="G29" s="2">
        <v>11850600</v>
      </c>
      <c r="H29" s="2">
        <v>11850600</v>
      </c>
      <c r="K29" s="47" t="s">
        <v>101</v>
      </c>
      <c r="L29" s="53">
        <v>27123</v>
      </c>
      <c r="M29" s="53">
        <v>9190</v>
      </c>
      <c r="N29" s="53">
        <v>9183</v>
      </c>
      <c r="O29" s="53">
        <v>3182</v>
      </c>
      <c r="P29" s="53">
        <v>3593</v>
      </c>
    </row>
    <row r="30" spans="2:16" ht="13.5" x14ac:dyDescent="0.15">
      <c r="C30" s="1" t="s">
        <v>13</v>
      </c>
      <c r="D30" s="2">
        <v>85043592</v>
      </c>
      <c r="E30" s="2">
        <v>81060051</v>
      </c>
      <c r="F30" s="2">
        <v>77894829</v>
      </c>
      <c r="G30" s="2">
        <v>74374573</v>
      </c>
      <c r="H30" s="2">
        <v>71027912</v>
      </c>
      <c r="K30" s="47" t="s">
        <v>102</v>
      </c>
      <c r="L30" s="53">
        <v>12119471</v>
      </c>
      <c r="M30" s="53">
        <v>26768812</v>
      </c>
      <c r="N30" s="53">
        <v>12838712</v>
      </c>
      <c r="O30" s="53">
        <v>9676073</v>
      </c>
      <c r="P30" s="53">
        <v>3216380</v>
      </c>
    </row>
    <row r="31" spans="2:16" x14ac:dyDescent="0.15">
      <c r="B31" s="23" t="s">
        <v>54</v>
      </c>
      <c r="C31" s="1" t="s">
        <v>52</v>
      </c>
      <c r="D31" s="2">
        <v>15225689</v>
      </c>
      <c r="E31" s="2">
        <v>28803351</v>
      </c>
      <c r="F31" s="22">
        <v>24752206</v>
      </c>
      <c r="G31" s="22">
        <v>10417875</v>
      </c>
      <c r="H31" s="18">
        <v>17736093</v>
      </c>
      <c r="K31" s="49"/>
      <c r="L31" s="48"/>
      <c r="M31" s="50"/>
      <c r="N31" s="50"/>
      <c r="O31" s="50"/>
      <c r="P31" s="50"/>
    </row>
    <row r="32" spans="2:16" x14ac:dyDescent="0.15">
      <c r="C32" s="1" t="s">
        <v>14</v>
      </c>
      <c r="D32" s="2">
        <v>64697360</v>
      </c>
      <c r="E32" s="22">
        <v>70498820</v>
      </c>
      <c r="F32" s="22">
        <v>56108779</v>
      </c>
      <c r="G32" s="2">
        <v>53971079</v>
      </c>
      <c r="H32" s="2">
        <v>55221069</v>
      </c>
      <c r="K32" s="52" t="s">
        <v>103</v>
      </c>
      <c r="L32" s="51">
        <f>L29+L30</f>
        <v>12146594</v>
      </c>
      <c r="M32" s="51">
        <f>M29+M30</f>
        <v>26778002</v>
      </c>
      <c r="N32" s="51">
        <f>N29+N30</f>
        <v>12847895</v>
      </c>
      <c r="O32" s="51">
        <f>O29+O30</f>
        <v>9679255</v>
      </c>
      <c r="P32" s="51">
        <f>P29+P30</f>
        <v>3219973</v>
      </c>
    </row>
    <row r="33" spans="3:16" x14ac:dyDescent="0.15">
      <c r="D33" s="2">
        <v>176817241</v>
      </c>
      <c r="E33" s="2">
        <v>192212822</v>
      </c>
      <c r="F33" s="2">
        <v>170606414</v>
      </c>
      <c r="G33" s="2">
        <v>150614127</v>
      </c>
      <c r="H33" s="18">
        <v>155835674</v>
      </c>
      <c r="L33" s="2"/>
    </row>
    <row r="34" spans="3:16" x14ac:dyDescent="0.15">
      <c r="C34" s="1" t="s">
        <v>43</v>
      </c>
      <c r="D34" s="2">
        <v>751419</v>
      </c>
      <c r="E34" s="2">
        <v>778561</v>
      </c>
      <c r="F34" s="2">
        <v>740403</v>
      </c>
      <c r="G34" s="2">
        <v>708752</v>
      </c>
      <c r="H34" s="18">
        <v>707407</v>
      </c>
      <c r="K34" s="1"/>
      <c r="L34" s="2"/>
    </row>
    <row r="35" spans="3:16" x14ac:dyDescent="0.15">
      <c r="D35" s="2">
        <v>177568660</v>
      </c>
      <c r="E35" s="2">
        <v>192991383</v>
      </c>
      <c r="F35" s="2">
        <v>171346817</v>
      </c>
      <c r="G35" s="2">
        <v>151322879</v>
      </c>
      <c r="H35" s="18">
        <v>156543081</v>
      </c>
      <c r="L35" s="2"/>
    </row>
    <row r="36" spans="3:16" ht="13.5" x14ac:dyDescent="0.15">
      <c r="K36" s="44" t="s">
        <v>110</v>
      </c>
    </row>
    <row r="37" spans="3:16" x14ac:dyDescent="0.15">
      <c r="C37" s="36" t="s">
        <v>61</v>
      </c>
      <c r="D37" s="62">
        <f>D29+D30+D31+D32+D34</f>
        <v>177568660</v>
      </c>
      <c r="E37" s="62">
        <f t="shared" ref="E37:H37" si="2">E29+E30+E31+E32+E34</f>
        <v>192991383</v>
      </c>
      <c r="F37" s="62">
        <f t="shared" si="2"/>
        <v>171346817</v>
      </c>
      <c r="G37" s="62">
        <f t="shared" si="2"/>
        <v>151322879</v>
      </c>
      <c r="H37" s="62">
        <f t="shared" si="2"/>
        <v>156543081</v>
      </c>
      <c r="K37" s="1"/>
      <c r="L37" s="14">
        <v>2021</v>
      </c>
      <c r="M37" s="14">
        <v>2020</v>
      </c>
      <c r="N37" s="14">
        <v>2019</v>
      </c>
      <c r="O37" s="14">
        <v>2018</v>
      </c>
      <c r="P37" s="14">
        <v>2017</v>
      </c>
    </row>
    <row r="38" spans="3:16" ht="13.5" x14ac:dyDescent="0.15">
      <c r="C38" s="36" t="s">
        <v>68</v>
      </c>
      <c r="D38" s="63">
        <f>D25+D37</f>
        <v>2122121479</v>
      </c>
      <c r="E38" s="63">
        <f t="shared" ref="E38:H38" si="3">E25+E37</f>
        <v>1891276395</v>
      </c>
      <c r="F38" s="63">
        <f t="shared" si="3"/>
        <v>1612214871</v>
      </c>
      <c r="G38" s="63">
        <f t="shared" si="3"/>
        <v>1585210007</v>
      </c>
      <c r="H38" s="63">
        <f t="shared" si="3"/>
        <v>1389492056</v>
      </c>
      <c r="K38" s="64" t="s">
        <v>8</v>
      </c>
      <c r="L38" s="54">
        <f>D18</f>
        <v>26486445</v>
      </c>
      <c r="M38" s="54">
        <f t="shared" ref="M38:P38" si="4">E18</f>
        <v>26451513</v>
      </c>
      <c r="N38" s="54">
        <f t="shared" si="4"/>
        <v>12795325</v>
      </c>
      <c r="O38" s="54">
        <f t="shared" si="4"/>
        <v>17003272</v>
      </c>
      <c r="P38" s="54">
        <f t="shared" si="4"/>
        <v>22994877</v>
      </c>
    </row>
    <row r="39" spans="3:16" ht="13.5" x14ac:dyDescent="0.15">
      <c r="K39" s="64" t="s">
        <v>9</v>
      </c>
      <c r="L39" s="54">
        <f>D19</f>
        <v>282898882</v>
      </c>
      <c r="M39" s="54">
        <f t="shared" ref="M39:P39" si="5">E19</f>
        <v>184577340</v>
      </c>
      <c r="N39" s="54">
        <f t="shared" si="5"/>
        <v>92859968</v>
      </c>
      <c r="O39" s="54">
        <f t="shared" si="5"/>
        <v>223216115</v>
      </c>
      <c r="P39" s="54">
        <f t="shared" si="5"/>
        <v>140462138</v>
      </c>
    </row>
    <row r="40" spans="3:16" ht="13.5" x14ac:dyDescent="0.15">
      <c r="K40" s="64" t="s">
        <v>49</v>
      </c>
      <c r="L40" s="54"/>
      <c r="M40" s="54"/>
      <c r="N40" s="54"/>
      <c r="O40" s="54">
        <f>G22</f>
        <v>3891019</v>
      </c>
      <c r="P40" s="54">
        <f>H22</f>
        <v>3892578</v>
      </c>
    </row>
    <row r="41" spans="3:16" ht="13.5" x14ac:dyDescent="0.15">
      <c r="K41" s="64"/>
      <c r="L41" s="54"/>
      <c r="M41" s="54"/>
      <c r="N41" s="54"/>
      <c r="O41" s="54"/>
      <c r="P41" s="54"/>
    </row>
    <row r="42" spans="3:16" ht="13.5" x14ac:dyDescent="0.15">
      <c r="L42" s="67">
        <f>SUM(L38:L40)</f>
        <v>309385327</v>
      </c>
      <c r="M42" s="67">
        <f t="shared" ref="M42:P42" si="6">SUM(M38:M40)</f>
        <v>211028853</v>
      </c>
      <c r="N42" s="67">
        <f t="shared" si="6"/>
        <v>105655293</v>
      </c>
      <c r="O42" s="67">
        <f t="shared" si="6"/>
        <v>244110406</v>
      </c>
      <c r="P42" s="67">
        <f t="shared" si="6"/>
        <v>167349593</v>
      </c>
    </row>
    <row r="43" spans="3:16" ht="13.5" x14ac:dyDescent="0.15">
      <c r="L43" s="54"/>
      <c r="M43" s="55"/>
      <c r="N43" s="55"/>
      <c r="O43" s="54"/>
      <c r="P43" s="54"/>
    </row>
    <row r="44" spans="3:16" ht="13.5" x14ac:dyDescent="0.15">
      <c r="K44" s="64" t="s">
        <v>47</v>
      </c>
      <c r="L44" s="54">
        <f>D20</f>
        <v>1534586671</v>
      </c>
      <c r="M44" s="54">
        <f t="shared" ref="M44:P44" si="7">E20</f>
        <v>1388737961</v>
      </c>
      <c r="N44" s="54">
        <f t="shared" si="7"/>
        <v>1226593025</v>
      </c>
      <c r="O44" s="54">
        <f t="shared" si="7"/>
        <v>1122306535</v>
      </c>
      <c r="P44" s="54">
        <f t="shared" si="7"/>
        <v>1001146162</v>
      </c>
    </row>
    <row r="45" spans="3:16" ht="13.5" x14ac:dyDescent="0.15">
      <c r="K45" s="68" t="s">
        <v>114</v>
      </c>
      <c r="L45" s="65"/>
      <c r="M45" s="65"/>
      <c r="N45" s="65"/>
      <c r="O45" s="65"/>
      <c r="P45" s="65"/>
    </row>
    <row r="46" spans="3:16" ht="13.5" x14ac:dyDescent="0.15">
      <c r="K46" s="68" t="s">
        <v>111</v>
      </c>
      <c r="L46" s="54">
        <v>489666685</v>
      </c>
      <c r="M46" s="54">
        <v>425760845</v>
      </c>
      <c r="N46" s="54">
        <v>357303848</v>
      </c>
      <c r="O46" s="54">
        <v>346298054</v>
      </c>
      <c r="P46" s="54">
        <v>313237032</v>
      </c>
    </row>
    <row r="47" spans="3:16" ht="13.5" x14ac:dyDescent="0.15">
      <c r="K47" s="68" t="s">
        <v>112</v>
      </c>
      <c r="L47" s="54">
        <v>71126591</v>
      </c>
      <c r="M47" s="54">
        <v>55999023</v>
      </c>
      <c r="N47" s="54">
        <v>53340189</v>
      </c>
      <c r="O47" s="54">
        <v>36242971</v>
      </c>
      <c r="P47" s="54">
        <v>27631923</v>
      </c>
    </row>
    <row r="48" spans="3:16" ht="13.5" x14ac:dyDescent="0.15">
      <c r="K48" s="68" t="s">
        <v>115</v>
      </c>
      <c r="L48" s="53">
        <f>L46+L47</f>
        <v>560793276</v>
      </c>
      <c r="M48" s="53">
        <f t="shared" ref="M48:P48" si="8">M46+M47</f>
        <v>481759868</v>
      </c>
      <c r="N48" s="53">
        <f t="shared" si="8"/>
        <v>410644037</v>
      </c>
      <c r="O48" s="53">
        <f t="shared" si="8"/>
        <v>382541025</v>
      </c>
      <c r="P48" s="53">
        <f t="shared" si="8"/>
        <v>340868955</v>
      </c>
    </row>
    <row r="49" spans="11:16" ht="13.5" x14ac:dyDescent="0.15">
      <c r="K49" s="68" t="s">
        <v>113</v>
      </c>
      <c r="L49" s="54"/>
      <c r="M49" s="54"/>
      <c r="N49" s="54"/>
      <c r="O49" s="54"/>
      <c r="P49" s="54"/>
    </row>
    <row r="50" spans="11:16" ht="13.5" x14ac:dyDescent="0.15">
      <c r="K50" s="68" t="s">
        <v>111</v>
      </c>
      <c r="L50" s="54">
        <v>9317311</v>
      </c>
      <c r="M50" s="54">
        <v>11033694</v>
      </c>
      <c r="N50" s="54">
        <v>9520075</v>
      </c>
      <c r="O50" s="54">
        <v>7633474</v>
      </c>
      <c r="P50" s="54">
        <v>8794327</v>
      </c>
    </row>
    <row r="51" spans="11:16" ht="13.5" x14ac:dyDescent="0.15">
      <c r="K51" s="68" t="s">
        <v>112</v>
      </c>
      <c r="L51" s="54">
        <v>1472847</v>
      </c>
      <c r="M51" s="54">
        <v>659230</v>
      </c>
      <c r="N51" s="54">
        <v>2094703</v>
      </c>
      <c r="O51" s="54">
        <v>2268698</v>
      </c>
      <c r="P51" s="54">
        <v>1574288</v>
      </c>
    </row>
    <row r="52" spans="11:16" ht="13.5" x14ac:dyDescent="0.15">
      <c r="K52" s="68" t="s">
        <v>116</v>
      </c>
      <c r="L52" s="53">
        <f>L50+L51</f>
        <v>10790158</v>
      </c>
      <c r="M52" s="53">
        <f t="shared" ref="M52:P52" si="9">M50+M51</f>
        <v>11692924</v>
      </c>
      <c r="N52" s="53">
        <f t="shared" si="9"/>
        <v>11614778</v>
      </c>
      <c r="O52" s="53">
        <f t="shared" si="9"/>
        <v>9902172</v>
      </c>
      <c r="P52" s="53">
        <f t="shared" si="9"/>
        <v>10368615</v>
      </c>
    </row>
    <row r="53" spans="11:16" ht="13.5" x14ac:dyDescent="0.15">
      <c r="N53" s="54"/>
      <c r="O53" s="54"/>
      <c r="P53" s="54"/>
    </row>
    <row r="54" spans="11:16" ht="13.5" x14ac:dyDescent="0.15">
      <c r="K54" s="45" t="s">
        <v>71</v>
      </c>
      <c r="L54" s="69">
        <f>L42+L44-L48-L52</f>
        <v>1272388564</v>
      </c>
      <c r="M54" s="69">
        <f t="shared" ref="M54:P54" si="10">M42+M44-M48-M52</f>
        <v>1106314022</v>
      </c>
      <c r="N54" s="69">
        <f t="shared" si="10"/>
        <v>909989503</v>
      </c>
      <c r="O54" s="69">
        <f t="shared" si="10"/>
        <v>973973744</v>
      </c>
      <c r="P54" s="69">
        <f t="shared" si="10"/>
        <v>817258185</v>
      </c>
    </row>
    <row r="55" spans="11:16" ht="13.5" x14ac:dyDescent="0.15">
      <c r="K55" s="68"/>
    </row>
    <row r="56" spans="11:16" ht="13.5" x14ac:dyDescent="0.15">
      <c r="K56" s="6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35"/>
  <sheetViews>
    <sheetView topLeftCell="A29" workbookViewId="0">
      <selection activeCell="G22" sqref="G21:K22"/>
    </sheetView>
  </sheetViews>
  <sheetFormatPr defaultRowHeight="12.75" x14ac:dyDescent="0.15"/>
  <cols>
    <col min="2" max="2" width="3.1015625" customWidth="1"/>
    <col min="3" max="3" width="10.24609375" customWidth="1"/>
    <col min="4" max="4" width="6.47265625" customWidth="1"/>
    <col min="5" max="5" width="32.76953125" customWidth="1"/>
    <col min="6" max="6" width="49.48828125" customWidth="1"/>
    <col min="7" max="7" width="23.19140625" customWidth="1"/>
    <col min="8" max="8" width="21.03515625" bestFit="1" customWidth="1"/>
    <col min="9" max="11" width="15.91015625" bestFit="1" customWidth="1"/>
    <col min="12" max="12" width="12.67578125" bestFit="1" customWidth="1"/>
  </cols>
  <sheetData>
    <row r="2" spans="4:11" ht="15" x14ac:dyDescent="0.2">
      <c r="D2" s="113"/>
      <c r="E2" s="114"/>
      <c r="F2" s="114"/>
      <c r="G2" s="29">
        <v>2021</v>
      </c>
      <c r="H2" s="29">
        <v>2020</v>
      </c>
      <c r="I2" s="29">
        <v>2019</v>
      </c>
      <c r="J2" s="29">
        <v>2018</v>
      </c>
      <c r="K2" s="29">
        <v>2017</v>
      </c>
    </row>
    <row r="3" spans="4:11" ht="15" x14ac:dyDescent="0.2">
      <c r="D3" s="111" t="s">
        <v>61</v>
      </c>
      <c r="E3" s="112"/>
      <c r="F3" s="112"/>
      <c r="G3" s="38">
        <f>'Balance Sheet Consolidated'!D37</f>
        <v>177568660</v>
      </c>
      <c r="H3" s="38">
        <f>'Balance Sheet Consolidated'!E37</f>
        <v>192991383</v>
      </c>
      <c r="I3" s="38">
        <f>'Balance Sheet Consolidated'!F37</f>
        <v>171346817</v>
      </c>
      <c r="J3" s="38">
        <f>'Balance Sheet Consolidated'!G37</f>
        <v>151322879</v>
      </c>
      <c r="K3" s="40">
        <f>'Balance Sheet Consolidated'!H37</f>
        <v>156543081</v>
      </c>
    </row>
    <row r="4" spans="4:11" ht="15" x14ac:dyDescent="0.2">
      <c r="D4" s="111" t="s">
        <v>119</v>
      </c>
      <c r="E4" s="112"/>
      <c r="F4" s="112"/>
      <c r="G4" s="33">
        <f>'Income statements Consolidated'!G30</f>
        <v>21947646</v>
      </c>
      <c r="H4" s="33">
        <f>'Income statements Consolidated'!H30</f>
        <v>19756019</v>
      </c>
      <c r="I4" s="33">
        <f>'Income statements Consolidated'!I30</f>
        <v>16206382</v>
      </c>
      <c r="J4" s="33">
        <f>'Income statements Consolidated'!J30</f>
        <v>10390637</v>
      </c>
      <c r="K4" s="33">
        <f>'Income statements Consolidated'!K30</f>
        <v>8565943</v>
      </c>
    </row>
    <row r="5" spans="4:11" ht="15" x14ac:dyDescent="0.2">
      <c r="D5" s="111" t="s">
        <v>73</v>
      </c>
      <c r="E5" s="112"/>
      <c r="F5" s="112"/>
      <c r="G5" s="33">
        <f>'Income statements Consolidated'!G31</f>
        <v>31327754</v>
      </c>
      <c r="H5" s="33">
        <f>'Income statements Consolidated'!H31</f>
        <v>29562269</v>
      </c>
      <c r="I5" s="33">
        <f>'Income statements Consolidated'!I31</f>
        <v>23947211</v>
      </c>
      <c r="J5" s="33">
        <f>'Income statements Consolidated'!J31</f>
        <v>20415284</v>
      </c>
      <c r="K5" s="33">
        <f>'Income statements Consolidated'!K31</f>
        <v>22047764</v>
      </c>
    </row>
    <row r="6" spans="4:11" ht="15" x14ac:dyDescent="0.2">
      <c r="D6" s="111" t="s">
        <v>77</v>
      </c>
      <c r="E6" s="112"/>
      <c r="F6" s="112"/>
      <c r="G6" s="33">
        <f>'Income statements Consolidated'!G19</f>
        <v>89032524</v>
      </c>
      <c r="H6" s="33">
        <f>'Income statements Consolidated'!H19</f>
        <v>95111966</v>
      </c>
      <c r="I6" s="33">
        <f>'Income statements Consolidated'!I19</f>
        <v>81235772</v>
      </c>
      <c r="J6" s="33">
        <f>'Income statements Consolidated'!J19</f>
        <v>66072039</v>
      </c>
      <c r="K6" s="33">
        <f>'Income statements Consolidated'!K19</f>
        <v>62038397</v>
      </c>
    </row>
    <row r="7" spans="4:11" ht="15" x14ac:dyDescent="0.2">
      <c r="D7" s="111" t="s">
        <v>78</v>
      </c>
      <c r="E7" s="112"/>
      <c r="F7" s="112"/>
      <c r="G7" s="33">
        <f>'Income statements Consolidated'!G42</f>
        <v>106404792</v>
      </c>
      <c r="H7" s="33">
        <f>'Income statements Consolidated'!H42</f>
        <v>108965724</v>
      </c>
      <c r="I7" s="33">
        <f>'Income statements Consolidated'!I42</f>
        <v>123118829</v>
      </c>
      <c r="J7" s="33">
        <f>'Income statements Consolidated'!J42</f>
        <v>76030095</v>
      </c>
      <c r="K7" s="33">
        <f>'Income statements Consolidated'!K42</f>
        <v>63715916</v>
      </c>
    </row>
    <row r="8" spans="4:11" ht="15" x14ac:dyDescent="0.2">
      <c r="D8" s="111" t="s">
        <v>58</v>
      </c>
      <c r="E8" s="112"/>
      <c r="F8" s="112"/>
      <c r="G8" s="34">
        <f>'Balance Sheet Consolidated'!D15</f>
        <v>2122121479</v>
      </c>
      <c r="H8" s="34">
        <f>'Balance Sheet Consolidated'!E15</f>
        <v>1891276395</v>
      </c>
      <c r="I8" s="34">
        <f>'Balance Sheet Consolidated'!F15</f>
        <v>1612214871</v>
      </c>
      <c r="J8" s="34">
        <f>'Balance Sheet Consolidated'!G15</f>
        <v>1585210007</v>
      </c>
      <c r="K8" s="34">
        <f>'Balance Sheet Consolidated'!H15</f>
        <v>1389492056</v>
      </c>
    </row>
    <row r="9" spans="4:11" ht="15" x14ac:dyDescent="0.2">
      <c r="D9" s="111" t="s">
        <v>67</v>
      </c>
      <c r="E9" s="112"/>
      <c r="F9" s="112"/>
      <c r="G9" s="32">
        <f>'Income statements Consolidated'!G8</f>
        <v>68378001</v>
      </c>
      <c r="H9" s="32">
        <f>'Income statements Consolidated'!H8</f>
        <v>75843439</v>
      </c>
      <c r="I9" s="32">
        <f>'Income statements Consolidated'!I8</f>
        <v>63718091</v>
      </c>
      <c r="J9" s="32">
        <f>'Income statements Consolidated'!J8</f>
        <v>48006424</v>
      </c>
      <c r="K9" s="34">
        <f>'Income statements Consolidated'!K8</f>
        <v>43540186</v>
      </c>
    </row>
    <row r="10" spans="4:11" ht="15" x14ac:dyDescent="0.2">
      <c r="D10" s="111" t="s">
        <v>84</v>
      </c>
      <c r="E10" s="112"/>
      <c r="F10" s="112"/>
      <c r="G10" s="32">
        <f>'Income statements Consolidated'!G18-'Income statements Consolidated'!G24</f>
        <v>-21518967</v>
      </c>
      <c r="H10" s="32">
        <f>'Income statements Consolidated'!H18-'Income statements Consolidated'!H24</f>
        <v>-19768185</v>
      </c>
      <c r="I10" s="32">
        <f>'Income statements Consolidated'!I18-'Income statements Consolidated'!I24</f>
        <v>-21230539</v>
      </c>
      <c r="J10" s="32">
        <f>'Income statements Consolidated'!J18-'Income statements Consolidated'!J24</f>
        <v>-18468567</v>
      </c>
      <c r="K10" s="34">
        <f>'Income statements Consolidated'!K18-'Income statements Consolidated'!K24</f>
        <v>-12568091</v>
      </c>
    </row>
    <row r="11" spans="4:11" ht="15" x14ac:dyDescent="0.2">
      <c r="D11" s="111" t="s">
        <v>120</v>
      </c>
      <c r="E11" s="112"/>
      <c r="F11" s="112"/>
      <c r="G11" s="32">
        <f>'Income statements Consolidated'!G26</f>
        <v>47802621</v>
      </c>
      <c r="H11" s="32">
        <f>'Income statements Consolidated'!H26</f>
        <v>56648332</v>
      </c>
      <c r="I11" s="32">
        <f>'Income statements Consolidated'!I26</f>
        <v>42827185</v>
      </c>
      <c r="J11" s="34">
        <f>'Income statements Consolidated'!J26</f>
        <v>29984114</v>
      </c>
      <c r="K11" s="34">
        <f>'Income statements Consolidated'!K26</f>
        <v>31661112</v>
      </c>
    </row>
    <row r="12" spans="4:11" ht="15" x14ac:dyDescent="0.2">
      <c r="D12" s="111" t="s">
        <v>69</v>
      </c>
      <c r="E12" s="112"/>
      <c r="F12" s="112"/>
      <c r="G12" s="41">
        <v>1185060006</v>
      </c>
      <c r="H12" s="32">
        <v>1185060006</v>
      </c>
      <c r="I12" s="32">
        <v>1185060006</v>
      </c>
      <c r="J12" s="34">
        <v>1185060006</v>
      </c>
      <c r="K12" s="34">
        <v>1147960005</v>
      </c>
    </row>
    <row r="13" spans="4:11" ht="15" x14ac:dyDescent="0.2">
      <c r="D13" s="111" t="s">
        <v>70</v>
      </c>
      <c r="E13" s="112"/>
      <c r="F13" s="112"/>
      <c r="G13" s="32">
        <f>'Balance Sheet Consolidated'!L23</f>
        <v>1810826777</v>
      </c>
      <c r="H13" s="32">
        <f>'Balance Sheet Consolidated'!M23</f>
        <v>1615678140</v>
      </c>
      <c r="I13" s="32">
        <f>'Balance Sheet Consolidated'!N23</f>
        <v>1335154275</v>
      </c>
      <c r="J13" s="34">
        <f>'Balance Sheet Consolidated'!O23</f>
        <v>1376948432</v>
      </c>
      <c r="K13" s="34">
        <f>'Balance Sheet Consolidated'!P23</f>
        <v>1179870908</v>
      </c>
    </row>
    <row r="14" spans="4:11" ht="15" x14ac:dyDescent="0.2">
      <c r="D14" s="111" t="s">
        <v>71</v>
      </c>
      <c r="E14" s="112"/>
      <c r="F14" s="112"/>
      <c r="G14" s="32">
        <f>'Balance Sheet Consolidated'!L54</f>
        <v>1272388564</v>
      </c>
      <c r="H14" s="32">
        <f>'Balance Sheet Consolidated'!M54</f>
        <v>1106314022</v>
      </c>
      <c r="I14" s="32">
        <f>'Balance Sheet Consolidated'!N54</f>
        <v>909989503</v>
      </c>
      <c r="J14" s="32">
        <f>'Balance Sheet Consolidated'!O54</f>
        <v>973973744</v>
      </c>
      <c r="K14" s="34">
        <f>'Balance Sheet Consolidated'!P54</f>
        <v>817258185</v>
      </c>
    </row>
    <row r="15" spans="4:11" ht="15" x14ac:dyDescent="0.2">
      <c r="D15" s="111" t="s">
        <v>122</v>
      </c>
      <c r="E15" s="112"/>
      <c r="F15" s="112"/>
      <c r="G15" s="34">
        <f>'Income statements Consolidated'!G6</f>
        <v>132609303</v>
      </c>
      <c r="H15" s="34">
        <f>'Income statements Consolidated'!H6</f>
        <v>145772451</v>
      </c>
      <c r="I15" s="34">
        <f>'Income statements Consolidated'!I6</f>
        <v>148088700</v>
      </c>
      <c r="J15" s="34">
        <f>'Income statements Consolidated'!J6</f>
        <v>87502337</v>
      </c>
      <c r="K15" s="34">
        <f>'Income statements Consolidated'!K6</f>
        <v>76189800</v>
      </c>
    </row>
    <row r="16" spans="4:11" ht="15" x14ac:dyDescent="0.2">
      <c r="D16" s="111" t="s">
        <v>123</v>
      </c>
      <c r="E16" s="112"/>
      <c r="F16" s="112"/>
      <c r="G16" s="34">
        <f>'Income statements Consolidated'!G7</f>
        <v>64231302</v>
      </c>
      <c r="H16" s="34">
        <f>'Income statements Consolidated'!H7</f>
        <v>69929012</v>
      </c>
      <c r="I16" s="34">
        <f>'Income statements Consolidated'!I7</f>
        <v>84370609</v>
      </c>
      <c r="J16" s="34">
        <f>'Income statements Consolidated'!J7</f>
        <v>39495913</v>
      </c>
      <c r="K16" s="34">
        <f>'Income statements Consolidated'!K7</f>
        <v>32649614</v>
      </c>
    </row>
    <row r="19" spans="5:11" ht="15" x14ac:dyDescent="0.2">
      <c r="E19" s="110"/>
      <c r="F19" s="110"/>
      <c r="G19" s="30">
        <v>2021</v>
      </c>
      <c r="H19" s="30">
        <v>2020</v>
      </c>
      <c r="I19" s="30">
        <v>2019</v>
      </c>
      <c r="J19" s="30">
        <v>2018</v>
      </c>
      <c r="K19" s="30">
        <v>2017</v>
      </c>
    </row>
    <row r="21" spans="5:11" x14ac:dyDescent="0.15">
      <c r="E21" s="76" t="s">
        <v>57</v>
      </c>
      <c r="F21" s="39" t="s">
        <v>56</v>
      </c>
      <c r="G21" s="75">
        <f>G5/G3</f>
        <v>0.1764261441179992</v>
      </c>
      <c r="H21" s="75">
        <f>H5/H3</f>
        <v>0.15317921733324227</v>
      </c>
      <c r="I21" s="75">
        <f>I5/I3</f>
        <v>0.13975871521441802</v>
      </c>
      <c r="J21" s="75">
        <f>J5/J3</f>
        <v>0.13491207763764526</v>
      </c>
      <c r="K21" s="75">
        <f>K5/K3</f>
        <v>0.14084151058710798</v>
      </c>
    </row>
    <row r="22" spans="5:11" x14ac:dyDescent="0.15">
      <c r="E22" s="70" t="s">
        <v>62</v>
      </c>
      <c r="F22" s="39" t="s">
        <v>63</v>
      </c>
      <c r="G22" s="35">
        <f>G5/G8</f>
        <v>1.4762469684234321E-2</v>
      </c>
      <c r="H22" s="35">
        <f>H5/H8</f>
        <v>1.5630856007167581E-2</v>
      </c>
      <c r="I22" s="35">
        <f>I5/I8</f>
        <v>1.4853610043397249E-2</v>
      </c>
      <c r="J22" s="35">
        <f>J5/J8</f>
        <v>1.2878598993098584E-2</v>
      </c>
      <c r="K22" s="35">
        <f>K5/K8</f>
        <v>1.5867499137397011E-2</v>
      </c>
    </row>
    <row r="23" spans="5:11" x14ac:dyDescent="0.15">
      <c r="E23" s="70" t="s">
        <v>64</v>
      </c>
      <c r="F23" s="39" t="s">
        <v>66</v>
      </c>
      <c r="G23" s="35">
        <f>G9/G8</f>
        <v>3.2221530047479435E-2</v>
      </c>
      <c r="H23" s="35">
        <f t="shared" ref="H23:K23" si="0">H9/H8</f>
        <v>4.010172135628013E-2</v>
      </c>
      <c r="I23" s="35">
        <f t="shared" si="0"/>
        <v>3.9522083654071442E-2</v>
      </c>
      <c r="J23" s="35">
        <f t="shared" si="0"/>
        <v>3.0283952150196084E-2</v>
      </c>
      <c r="K23" s="35">
        <f t="shared" si="0"/>
        <v>3.1335325604769058E-2</v>
      </c>
    </row>
    <row r="24" spans="5:11" x14ac:dyDescent="0.15">
      <c r="E24" s="70" t="s">
        <v>65</v>
      </c>
      <c r="F24" s="39" t="s">
        <v>83</v>
      </c>
      <c r="G24" s="35">
        <f>G10/G8</f>
        <v>-1.0140308749026144E-2</v>
      </c>
      <c r="H24" s="35">
        <f t="shared" ref="H24:K24" si="1">H10/H8</f>
        <v>-1.0452298274467704E-2</v>
      </c>
      <c r="I24" s="35">
        <f t="shared" si="1"/>
        <v>-1.3168554255321716E-2</v>
      </c>
      <c r="J24" s="35">
        <f t="shared" si="1"/>
        <v>-1.165054908715322E-2</v>
      </c>
      <c r="K24" s="35">
        <f t="shared" si="1"/>
        <v>-9.0450974122013982E-3</v>
      </c>
    </row>
    <row r="25" spans="5:11" x14ac:dyDescent="0.15">
      <c r="E25" s="70" t="s">
        <v>88</v>
      </c>
      <c r="F25" s="31" t="s">
        <v>92</v>
      </c>
      <c r="G25" s="35">
        <f>(G6-G7)/G8</f>
        <v>-8.1862740525986636E-3</v>
      </c>
      <c r="H25" s="35">
        <f>(H6-H7)/H8</f>
        <v>-7.3250837564649033E-3</v>
      </c>
      <c r="I25" s="35">
        <f>(I6-I7)/I8</f>
        <v>-2.5978582478910779E-2</v>
      </c>
      <c r="J25" s="35">
        <f>(J6-J7)/J8</f>
        <v>-6.2818528497972067E-3</v>
      </c>
      <c r="K25" s="35">
        <f>(K6-K7)/K8</f>
        <v>-1.2072893779825971E-3</v>
      </c>
    </row>
    <row r="26" spans="5:11" x14ac:dyDescent="0.15">
      <c r="G26" s="28"/>
      <c r="H26" s="28"/>
      <c r="I26" s="28"/>
      <c r="J26" s="28"/>
      <c r="K26" s="28"/>
    </row>
    <row r="27" spans="5:11" x14ac:dyDescent="0.15">
      <c r="E27" s="70" t="s">
        <v>74</v>
      </c>
      <c r="F27" s="31" t="s">
        <v>82</v>
      </c>
      <c r="G27" s="35">
        <f>G5/G6</f>
        <v>0.35186864970827963</v>
      </c>
      <c r="H27" s="35">
        <f>H5/H6</f>
        <v>0.31081545512370123</v>
      </c>
      <c r="I27" s="35">
        <f>I5/I6</f>
        <v>0.29478652581771486</v>
      </c>
      <c r="J27" s="35">
        <f>J5/J6</f>
        <v>0.30898522747269841</v>
      </c>
      <c r="K27" s="35">
        <f>K5/K6</f>
        <v>0.35538900207237784</v>
      </c>
    </row>
    <row r="28" spans="5:11" x14ac:dyDescent="0.15">
      <c r="E28" s="70" t="s">
        <v>75</v>
      </c>
      <c r="F28" s="31" t="s">
        <v>72</v>
      </c>
      <c r="G28" s="72">
        <f>G8/G3</f>
        <v>11.950991120843058</v>
      </c>
      <c r="H28" s="72">
        <f>H8/H3</f>
        <v>9.7997970976766364</v>
      </c>
      <c r="I28" s="72">
        <f>I8/I3</f>
        <v>9.4090739427041701</v>
      </c>
      <c r="J28" s="72">
        <f>J8/J3</f>
        <v>10.475679669034053</v>
      </c>
      <c r="K28" s="72">
        <f>K8/K3</f>
        <v>8.8761000941331929</v>
      </c>
    </row>
    <row r="29" spans="5:11" x14ac:dyDescent="0.15">
      <c r="E29" s="70" t="s">
        <v>76</v>
      </c>
      <c r="F29" s="31" t="s">
        <v>81</v>
      </c>
      <c r="G29" s="35">
        <f>G6/G8</f>
        <v>4.1954489825886163E-2</v>
      </c>
      <c r="H29" s="35">
        <f>H6/H8</f>
        <v>5.0289828737591788E-2</v>
      </c>
      <c r="I29" s="35">
        <f>I6/I8</f>
        <v>5.0387683094383268E-2</v>
      </c>
      <c r="J29" s="35">
        <f>J6/J8</f>
        <v>4.1680306526099289E-2</v>
      </c>
      <c r="K29" s="35">
        <f>K6/K8</f>
        <v>4.4648255981105084E-2</v>
      </c>
    </row>
    <row r="30" spans="5:11" x14ac:dyDescent="0.15">
      <c r="E30" s="76" t="s">
        <v>117</v>
      </c>
      <c r="F30" s="31" t="s">
        <v>118</v>
      </c>
      <c r="G30" s="74">
        <f>G27*G28*G29</f>
        <v>0.1764261441179992</v>
      </c>
      <c r="H30" s="74">
        <f t="shared" ref="H30:K30" si="2">H27*H28*H29</f>
        <v>0.15317921733324227</v>
      </c>
      <c r="I30" s="74">
        <f t="shared" si="2"/>
        <v>0.13975871521441802</v>
      </c>
      <c r="J30" s="74">
        <f t="shared" si="2"/>
        <v>0.13491207763764526</v>
      </c>
      <c r="K30" s="74">
        <f t="shared" si="2"/>
        <v>0.14084151058710798</v>
      </c>
    </row>
    <row r="31" spans="5:11" x14ac:dyDescent="0.15">
      <c r="G31" s="28"/>
      <c r="H31" s="28"/>
      <c r="I31" s="28"/>
      <c r="J31" s="28"/>
      <c r="K31" s="28"/>
    </row>
    <row r="32" spans="5:11" x14ac:dyDescent="0.15">
      <c r="G32" s="28"/>
      <c r="H32" s="28"/>
      <c r="I32" s="28"/>
      <c r="J32" s="28"/>
      <c r="K32" s="28"/>
    </row>
    <row r="33" spans="5:11" x14ac:dyDescent="0.15">
      <c r="G33" s="28"/>
      <c r="H33" s="28"/>
      <c r="I33" s="28"/>
      <c r="J33" s="28"/>
      <c r="K33" s="28"/>
    </row>
    <row r="34" spans="5:11" x14ac:dyDescent="0.15">
      <c r="E34" s="70" t="s">
        <v>93</v>
      </c>
      <c r="F34" s="31" t="s">
        <v>96</v>
      </c>
      <c r="G34" s="35">
        <f>G11/G6</f>
        <v>0.53691189300664999</v>
      </c>
      <c r="H34" s="35">
        <f t="shared" ref="H34:K34" si="3">H11/H6</f>
        <v>0.59559626808681465</v>
      </c>
      <c r="I34" s="35">
        <f t="shared" si="3"/>
        <v>0.52719613472744498</v>
      </c>
      <c r="J34" s="35">
        <f t="shared" si="3"/>
        <v>0.4538094245888189</v>
      </c>
      <c r="K34" s="35">
        <f t="shared" si="3"/>
        <v>0.51034703556250816</v>
      </c>
    </row>
    <row r="35" spans="5:11" x14ac:dyDescent="0.15">
      <c r="E35" s="71" t="s">
        <v>90</v>
      </c>
      <c r="F35" s="31" t="s">
        <v>97</v>
      </c>
      <c r="G35" s="35">
        <f>G5/G11</f>
        <v>0.65535640817686547</v>
      </c>
      <c r="H35" s="35">
        <f t="shared" ref="H35:K35" si="4">H5/H11</f>
        <v>0.52185594802685453</v>
      </c>
      <c r="I35" s="35">
        <f t="shared" si="4"/>
        <v>0.55915911820961384</v>
      </c>
      <c r="J35" s="35">
        <f t="shared" si="4"/>
        <v>0.68087001003264591</v>
      </c>
      <c r="K35" s="35">
        <f t="shared" si="4"/>
        <v>0.69636732910707622</v>
      </c>
    </row>
    <row r="36" spans="5:11" x14ac:dyDescent="0.15">
      <c r="E36" s="71" t="s">
        <v>91</v>
      </c>
      <c r="F36" s="31" t="s">
        <v>98</v>
      </c>
      <c r="G36" s="35">
        <f>G6/G8</f>
        <v>4.1954489825886163E-2</v>
      </c>
      <c r="H36" s="35">
        <f>H6/H8</f>
        <v>5.0289828737591788E-2</v>
      </c>
      <c r="I36" s="35">
        <f>I6/I8</f>
        <v>5.0387683094383268E-2</v>
      </c>
      <c r="J36" s="35">
        <f>J6/J8</f>
        <v>4.1680306526099289E-2</v>
      </c>
      <c r="K36" s="35">
        <f>K6/K8</f>
        <v>4.4648255981105084E-2</v>
      </c>
    </row>
    <row r="37" spans="5:11" x14ac:dyDescent="0.15">
      <c r="E37" s="70" t="s">
        <v>94</v>
      </c>
      <c r="F37" s="31" t="s">
        <v>99</v>
      </c>
      <c r="G37" s="72">
        <f>G8/G3</f>
        <v>11.950991120843058</v>
      </c>
      <c r="H37" s="72">
        <f>H8/H3</f>
        <v>9.7997970976766364</v>
      </c>
      <c r="I37" s="72">
        <f>I8/I3</f>
        <v>9.4090739427041701</v>
      </c>
      <c r="J37" s="72">
        <f>J8/J3</f>
        <v>10.475679669034053</v>
      </c>
      <c r="K37" s="72">
        <f>K8/K3</f>
        <v>8.8761000941331929</v>
      </c>
    </row>
    <row r="38" spans="5:11" ht="35.25" x14ac:dyDescent="0.15">
      <c r="E38" s="76" t="s">
        <v>121</v>
      </c>
      <c r="F38" s="42" t="s">
        <v>95</v>
      </c>
      <c r="G38" s="73">
        <f>G34*G35*G36*G37</f>
        <v>0.1764261441179992</v>
      </c>
      <c r="H38" s="73">
        <f t="shared" ref="H38:K38" si="5">H34*H35*H36*H37</f>
        <v>0.1531792173332423</v>
      </c>
      <c r="I38" s="73">
        <f t="shared" si="5"/>
        <v>0.13975871521441802</v>
      </c>
      <c r="J38" s="73">
        <f t="shared" si="5"/>
        <v>0.13491207763764529</v>
      </c>
      <c r="K38" s="73">
        <f t="shared" si="5"/>
        <v>0.14084151058710798</v>
      </c>
    </row>
    <row r="41" spans="5:11" ht="24" x14ac:dyDescent="0.15">
      <c r="E41" s="76" t="s">
        <v>89</v>
      </c>
      <c r="F41" s="77" t="s">
        <v>100</v>
      </c>
      <c r="G41" s="73">
        <f>(G15/G13)-(G16/G14)</f>
        <v>2.2750471494373717E-2</v>
      </c>
      <c r="H41" s="73">
        <f>(H15/H13)-(H16/H14)</f>
        <v>2.7014686433301946E-2</v>
      </c>
      <c r="I41" s="73">
        <f>(I15/I13)-(I16/I14)</f>
        <v>1.8199023186558083E-2</v>
      </c>
      <c r="J41" s="73">
        <f>(J15/J13)-(J16/J14)</f>
        <v>2.2996701281173551E-2</v>
      </c>
      <c r="K41" s="73">
        <f>(K15/K13)-(K16/K14)</f>
        <v>2.4624508649857955E-2</v>
      </c>
    </row>
    <row r="44" spans="5:11" x14ac:dyDescent="0.15">
      <c r="E44" s="76" t="s">
        <v>125</v>
      </c>
      <c r="F44" t="s">
        <v>124</v>
      </c>
      <c r="G44" s="78">
        <f>G5/G12</f>
        <v>2.6435584562289244E-2</v>
      </c>
      <c r="H44" s="78">
        <f t="shared" ref="H44:K44" si="6">H5/H12</f>
        <v>2.494579924250688E-2</v>
      </c>
      <c r="I44" s="78">
        <f t="shared" si="6"/>
        <v>2.0207593606023692E-2</v>
      </c>
      <c r="J44" s="78">
        <f t="shared" si="6"/>
        <v>1.7227215412415158E-2</v>
      </c>
      <c r="K44" s="78">
        <f t="shared" si="6"/>
        <v>1.9206038454275244E-2</v>
      </c>
    </row>
    <row r="49" spans="2:11" x14ac:dyDescent="0.15">
      <c r="F49" s="82" t="s">
        <v>126</v>
      </c>
    </row>
    <row r="50" spans="2:11" ht="13.5" x14ac:dyDescent="0.15">
      <c r="G50" s="30">
        <v>2021</v>
      </c>
      <c r="H50" s="30">
        <v>2020</v>
      </c>
      <c r="I50" s="30">
        <v>2019</v>
      </c>
      <c r="J50" s="30">
        <v>2018</v>
      </c>
      <c r="K50" s="30">
        <v>2017</v>
      </c>
    </row>
    <row r="52" spans="2:11" x14ac:dyDescent="0.15">
      <c r="B52" s="28"/>
      <c r="C52" s="28"/>
      <c r="D52" s="28"/>
      <c r="E52" s="28"/>
      <c r="F52" s="80" t="s">
        <v>127</v>
      </c>
      <c r="G52" s="83">
        <f>G38</f>
        <v>0.1764261441179992</v>
      </c>
      <c r="H52" s="83">
        <f t="shared" ref="H52:K52" si="7">H38</f>
        <v>0.1531792173332423</v>
      </c>
      <c r="I52" s="83">
        <f t="shared" si="7"/>
        <v>0.13975871521441802</v>
      </c>
      <c r="J52" s="83">
        <f t="shared" si="7"/>
        <v>0.13491207763764529</v>
      </c>
      <c r="K52" s="83">
        <f t="shared" si="7"/>
        <v>0.14084151058710798</v>
      </c>
    </row>
    <row r="53" spans="2:11" x14ac:dyDescent="0.15">
      <c r="B53" s="28"/>
      <c r="C53" s="28"/>
      <c r="D53" s="28"/>
      <c r="E53" s="28"/>
      <c r="F53" s="80" t="s">
        <v>133</v>
      </c>
      <c r="G53" s="28"/>
      <c r="H53" s="28"/>
      <c r="I53" s="28"/>
      <c r="J53" s="28"/>
      <c r="K53" s="28"/>
    </row>
    <row r="54" spans="2:11" x14ac:dyDescent="0.15">
      <c r="B54" s="28"/>
      <c r="C54" s="28"/>
      <c r="D54" s="28"/>
      <c r="E54" s="28"/>
      <c r="F54" s="80"/>
      <c r="G54" s="28"/>
      <c r="H54" s="28"/>
      <c r="I54" s="28"/>
      <c r="J54" s="28"/>
      <c r="K54" s="28"/>
    </row>
    <row r="55" spans="2:11" x14ac:dyDescent="0.15">
      <c r="B55" s="28"/>
      <c r="C55" s="28"/>
      <c r="D55" s="28"/>
      <c r="E55" s="28"/>
      <c r="F55" s="81" t="s">
        <v>128</v>
      </c>
      <c r="G55" s="28"/>
      <c r="H55" s="28"/>
      <c r="I55" s="28"/>
      <c r="J55" s="28"/>
      <c r="K55" s="28"/>
    </row>
    <row r="56" spans="2:11" x14ac:dyDescent="0.15">
      <c r="B56" s="28"/>
      <c r="C56" s="28"/>
      <c r="D56" s="28"/>
      <c r="E56" s="28"/>
      <c r="F56" s="80"/>
      <c r="G56" s="28"/>
      <c r="H56" s="28"/>
      <c r="I56" s="28"/>
      <c r="J56" s="28"/>
      <c r="K56" s="28"/>
    </row>
    <row r="57" spans="2:11" x14ac:dyDescent="0.15">
      <c r="B57" s="28"/>
      <c r="C57" s="28"/>
      <c r="D57" s="28"/>
      <c r="E57" s="28"/>
      <c r="F57" s="80" t="s">
        <v>129</v>
      </c>
      <c r="G57" s="83">
        <f>G22</f>
        <v>1.4762469684234321E-2</v>
      </c>
      <c r="H57" s="83">
        <f t="shared" ref="H57:K57" si="8">H22</f>
        <v>1.5630856007167581E-2</v>
      </c>
      <c r="I57" s="83">
        <f t="shared" si="8"/>
        <v>1.4853610043397249E-2</v>
      </c>
      <c r="J57" s="83">
        <f t="shared" si="8"/>
        <v>1.2878598993098584E-2</v>
      </c>
      <c r="K57" s="83">
        <f t="shared" si="8"/>
        <v>1.5867499137397011E-2</v>
      </c>
    </row>
    <row r="58" spans="2:11" x14ac:dyDescent="0.15">
      <c r="B58" s="28"/>
      <c r="C58" s="28"/>
      <c r="D58" s="28"/>
      <c r="E58" s="28"/>
      <c r="F58" s="80" t="s">
        <v>130</v>
      </c>
      <c r="G58" s="79">
        <f>G27</f>
        <v>0.35186864970827963</v>
      </c>
      <c r="H58" s="79">
        <f t="shared" ref="H58:K58" si="9">H27</f>
        <v>0.31081545512370123</v>
      </c>
      <c r="I58" s="79">
        <f t="shared" si="9"/>
        <v>0.29478652581771486</v>
      </c>
      <c r="J58" s="79">
        <f t="shared" si="9"/>
        <v>0.30898522747269841</v>
      </c>
      <c r="K58" s="79">
        <f t="shared" si="9"/>
        <v>0.35538900207237784</v>
      </c>
    </row>
    <row r="59" spans="2:11" x14ac:dyDescent="0.15">
      <c r="B59" s="28"/>
      <c r="C59" s="28"/>
      <c r="D59" s="28"/>
      <c r="E59" s="28"/>
      <c r="F59" s="80" t="s">
        <v>131</v>
      </c>
      <c r="G59" s="79">
        <f>G29</f>
        <v>4.1954489825886163E-2</v>
      </c>
      <c r="H59" s="79">
        <f t="shared" ref="H59:K59" si="10">H29</f>
        <v>5.0289828737591788E-2</v>
      </c>
      <c r="I59" s="79">
        <f t="shared" si="10"/>
        <v>5.0387683094383268E-2</v>
      </c>
      <c r="J59" s="79">
        <f t="shared" si="10"/>
        <v>4.1680306526099289E-2</v>
      </c>
      <c r="K59" s="79">
        <f t="shared" si="10"/>
        <v>4.4648255981105084E-2</v>
      </c>
    </row>
    <row r="60" spans="2:11" x14ac:dyDescent="0.15">
      <c r="B60" s="28"/>
      <c r="C60" s="28"/>
      <c r="D60" s="28"/>
      <c r="E60" s="28"/>
      <c r="F60" s="80"/>
      <c r="G60" s="28"/>
      <c r="H60" s="28"/>
      <c r="I60" s="28"/>
      <c r="J60" s="28"/>
      <c r="K60" s="28"/>
    </row>
    <row r="61" spans="2:11" x14ac:dyDescent="0.15">
      <c r="B61" s="28"/>
      <c r="C61" s="28"/>
      <c r="D61" s="28"/>
      <c r="E61" s="28"/>
      <c r="F61" s="80" t="s">
        <v>132</v>
      </c>
      <c r="G61" s="84">
        <f>G58*G59</f>
        <v>1.4762469684234321E-2</v>
      </c>
      <c r="H61" s="84">
        <f t="shared" ref="H61:K61" si="11">H58*H59</f>
        <v>1.5630856007167581E-2</v>
      </c>
      <c r="I61" s="84">
        <f t="shared" si="11"/>
        <v>1.4853610043397247E-2</v>
      </c>
      <c r="J61" s="84">
        <f t="shared" si="11"/>
        <v>1.2878598993098586E-2</v>
      </c>
      <c r="K61" s="84">
        <f t="shared" si="11"/>
        <v>1.5867499137397011E-2</v>
      </c>
    </row>
    <row r="62" spans="2:11" x14ac:dyDescent="0.15">
      <c r="B62" s="28"/>
      <c r="C62" s="28"/>
      <c r="D62" s="28"/>
      <c r="E62" s="28"/>
      <c r="F62" s="80"/>
      <c r="G62" s="28"/>
      <c r="H62" s="28"/>
      <c r="I62" s="28"/>
      <c r="J62" s="28"/>
      <c r="K62" s="28"/>
    </row>
    <row r="63" spans="2:11" x14ac:dyDescent="0.15">
      <c r="B63" s="28"/>
      <c r="C63" s="28"/>
      <c r="D63" s="28"/>
      <c r="E63" s="28"/>
      <c r="F63" s="80" t="s">
        <v>134</v>
      </c>
      <c r="G63" s="72">
        <f>G8/G3</f>
        <v>11.950991120843058</v>
      </c>
      <c r="H63" s="72">
        <f t="shared" ref="H63:K63" si="12">H8/H3</f>
        <v>9.7997970976766364</v>
      </c>
      <c r="I63" s="72">
        <f t="shared" si="12"/>
        <v>9.4090739427041701</v>
      </c>
      <c r="J63" s="72">
        <f t="shared" si="12"/>
        <v>10.475679669034053</v>
      </c>
      <c r="K63" s="72">
        <f t="shared" si="12"/>
        <v>8.8761000941331929</v>
      </c>
    </row>
    <row r="64" spans="2:11" x14ac:dyDescent="0.15">
      <c r="B64" s="28"/>
      <c r="C64" s="28"/>
      <c r="D64" s="28"/>
      <c r="E64" s="28"/>
      <c r="F64" s="80"/>
      <c r="G64" s="28"/>
      <c r="H64" s="28"/>
      <c r="I64" s="28"/>
      <c r="J64" s="28"/>
      <c r="K64" s="28"/>
    </row>
    <row r="65" spans="2:11" x14ac:dyDescent="0.15">
      <c r="B65" s="28"/>
      <c r="C65" s="28"/>
      <c r="D65" s="28"/>
      <c r="E65" s="28"/>
      <c r="F65" s="80"/>
      <c r="G65" s="28"/>
      <c r="H65" s="28"/>
      <c r="I65" s="28"/>
      <c r="J65" s="28"/>
      <c r="K65" s="28"/>
    </row>
    <row r="66" spans="2:11" x14ac:dyDescent="0.15">
      <c r="B66" s="28"/>
      <c r="C66" s="28"/>
      <c r="D66" s="28"/>
      <c r="E66" s="28"/>
      <c r="F66" s="80" t="s">
        <v>133</v>
      </c>
      <c r="G66" s="35">
        <f>G63*G61</f>
        <v>0.1764261441179992</v>
      </c>
      <c r="H66" s="35">
        <f t="shared" ref="H66:K66" si="13">H63*H61</f>
        <v>0.15317921733324227</v>
      </c>
      <c r="I66" s="35">
        <f t="shared" si="13"/>
        <v>0.13975871521441799</v>
      </c>
      <c r="J66" s="35">
        <f t="shared" si="13"/>
        <v>0.13491207763764529</v>
      </c>
      <c r="K66" s="35">
        <f t="shared" si="13"/>
        <v>0.14084151058710798</v>
      </c>
    </row>
    <row r="67" spans="2:11" x14ac:dyDescent="0.15">
      <c r="B67" s="28"/>
      <c r="C67" s="28"/>
      <c r="D67" s="28"/>
      <c r="E67" s="28"/>
      <c r="F67" s="80"/>
      <c r="G67" s="28"/>
      <c r="H67" s="28"/>
      <c r="I67" s="28"/>
      <c r="J67" s="28"/>
      <c r="K67" s="28"/>
    </row>
    <row r="68" spans="2:11" x14ac:dyDescent="0.15">
      <c r="B68" s="28"/>
      <c r="C68" s="28"/>
      <c r="D68" s="28"/>
      <c r="E68" s="28"/>
      <c r="F68" s="28"/>
      <c r="G68" s="28"/>
      <c r="H68" s="28"/>
      <c r="I68" s="28"/>
      <c r="J68" s="28"/>
      <c r="K68" s="28"/>
    </row>
    <row r="69" spans="2:11" x14ac:dyDescent="0.15">
      <c r="B69" s="28"/>
      <c r="C69" s="28"/>
      <c r="D69" s="28"/>
      <c r="E69" s="28"/>
      <c r="F69" s="28"/>
      <c r="G69" s="28"/>
      <c r="H69" s="28"/>
      <c r="I69" s="28"/>
      <c r="J69" s="28"/>
      <c r="K69" s="28"/>
    </row>
    <row r="70" spans="2:11" x14ac:dyDescent="0.15">
      <c r="B70" s="28"/>
      <c r="C70" s="28"/>
      <c r="D70" s="28"/>
      <c r="E70" s="28"/>
      <c r="F70" s="28"/>
      <c r="G70" s="28"/>
      <c r="H70" s="28"/>
      <c r="I70" s="28"/>
      <c r="J70" s="28"/>
      <c r="K70" s="28"/>
    </row>
    <row r="71" spans="2:11" x14ac:dyDescent="0.15">
      <c r="B71" s="28"/>
      <c r="C71" s="28"/>
      <c r="D71" s="28"/>
      <c r="E71" s="28"/>
      <c r="F71" s="28"/>
      <c r="G71" s="28"/>
      <c r="H71" s="28"/>
      <c r="I71" s="28"/>
      <c r="J71" s="28"/>
      <c r="K71" s="28"/>
    </row>
    <row r="72" spans="2:11" x14ac:dyDescent="0.15"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2:11" x14ac:dyDescent="0.15">
      <c r="B73" s="28"/>
      <c r="C73" s="28"/>
      <c r="D73" s="28"/>
      <c r="E73" s="28"/>
      <c r="F73" s="28"/>
      <c r="G73" s="28"/>
      <c r="H73" s="28"/>
      <c r="I73" s="28"/>
      <c r="J73" s="28"/>
      <c r="K73" s="28"/>
    </row>
    <row r="74" spans="2:11" x14ac:dyDescent="0.15">
      <c r="B74" s="28"/>
      <c r="C74" s="28"/>
      <c r="D74" s="28"/>
      <c r="E74" s="28"/>
      <c r="F74" s="28"/>
      <c r="G74" s="28"/>
      <c r="H74" s="28"/>
      <c r="I74" s="28"/>
      <c r="J74" s="28"/>
      <c r="K74" s="28"/>
    </row>
    <row r="75" spans="2:11" x14ac:dyDescent="0.15">
      <c r="B75" s="28"/>
      <c r="C75" s="28"/>
      <c r="D75" s="28"/>
      <c r="E75" s="28"/>
      <c r="F75" s="28"/>
      <c r="G75" s="28"/>
      <c r="H75" s="28"/>
      <c r="I75" s="28"/>
      <c r="J75" s="28"/>
      <c r="K75" s="28"/>
    </row>
    <row r="76" spans="2:11" x14ac:dyDescent="0.15">
      <c r="B76" s="28"/>
      <c r="C76" s="28"/>
      <c r="D76" s="28"/>
      <c r="E76" s="28"/>
      <c r="F76" s="28"/>
      <c r="G76" s="28"/>
      <c r="H76" s="28"/>
      <c r="I76" s="28"/>
      <c r="J76" s="28"/>
      <c r="K76" s="28"/>
    </row>
    <row r="77" spans="2:11" x14ac:dyDescent="0.15">
      <c r="B77" s="28"/>
      <c r="C77" s="28"/>
      <c r="D77" s="28"/>
      <c r="E77" s="28"/>
      <c r="F77" s="28"/>
      <c r="G77" s="28"/>
      <c r="H77" s="28"/>
      <c r="I77" s="28"/>
      <c r="J77" s="28"/>
      <c r="K77" s="28"/>
    </row>
    <row r="78" spans="2:11" x14ac:dyDescent="0.15">
      <c r="B78" s="28"/>
      <c r="C78" s="28"/>
      <c r="D78" s="28"/>
      <c r="E78" s="28"/>
      <c r="F78" s="28"/>
      <c r="G78" s="28"/>
      <c r="H78" s="28"/>
      <c r="I78" s="28"/>
      <c r="J78" s="28"/>
      <c r="K78" s="28"/>
    </row>
    <row r="79" spans="2:11" x14ac:dyDescent="0.15">
      <c r="B79" s="28"/>
      <c r="C79" s="28"/>
      <c r="D79" s="28"/>
      <c r="E79" s="28"/>
      <c r="F79" s="28"/>
      <c r="G79" s="28"/>
      <c r="H79" s="28"/>
      <c r="I79" s="28"/>
      <c r="J79" s="28"/>
      <c r="K79" s="28"/>
    </row>
    <row r="80" spans="2:11" x14ac:dyDescent="0.15">
      <c r="B80" s="28"/>
      <c r="C80" s="28"/>
      <c r="D80" s="28"/>
      <c r="E80" s="28"/>
      <c r="F80" s="28"/>
      <c r="G80" s="28"/>
      <c r="H80" s="28"/>
      <c r="I80" s="28"/>
      <c r="J80" s="28"/>
      <c r="K80" s="28"/>
    </row>
    <row r="81" spans="2:11" x14ac:dyDescent="0.15">
      <c r="B81" s="28"/>
      <c r="C81" s="28"/>
      <c r="D81" s="28"/>
      <c r="E81" s="28"/>
      <c r="F81" s="28"/>
      <c r="G81" s="28"/>
      <c r="H81" s="28"/>
      <c r="I81" s="28"/>
      <c r="J81" s="28"/>
      <c r="K81" s="28"/>
    </row>
    <row r="82" spans="2:11" x14ac:dyDescent="0.15">
      <c r="B82" s="28"/>
      <c r="C82" s="28"/>
      <c r="D82" s="28"/>
      <c r="E82" s="28"/>
      <c r="F82" s="28"/>
      <c r="G82" s="28"/>
      <c r="H82" s="28"/>
      <c r="I82" s="28"/>
      <c r="J82" s="28"/>
      <c r="K82" s="28"/>
    </row>
    <row r="83" spans="2:11" x14ac:dyDescent="0.15">
      <c r="B83" s="28"/>
      <c r="C83" s="28"/>
      <c r="D83" s="28"/>
      <c r="E83" s="28"/>
      <c r="F83" s="28"/>
      <c r="G83" s="28"/>
      <c r="H83" s="28"/>
      <c r="I83" s="28"/>
      <c r="J83" s="28"/>
      <c r="K83" s="28"/>
    </row>
    <row r="84" spans="2:11" x14ac:dyDescent="0.15">
      <c r="B84" s="28"/>
      <c r="C84" s="28"/>
      <c r="D84" s="28"/>
      <c r="E84" s="28"/>
      <c r="F84" s="28"/>
      <c r="G84" s="28"/>
      <c r="H84" s="28"/>
      <c r="I84" s="28"/>
      <c r="J84" s="28"/>
      <c r="K84" s="28"/>
    </row>
    <row r="85" spans="2:11" x14ac:dyDescent="0.15">
      <c r="B85" s="28"/>
      <c r="C85" s="28"/>
      <c r="D85" s="28"/>
      <c r="E85" s="28"/>
      <c r="F85" s="28"/>
      <c r="G85" s="28"/>
      <c r="H85" s="28"/>
      <c r="I85" s="28"/>
      <c r="J85" s="28"/>
      <c r="K85" s="28"/>
    </row>
    <row r="86" spans="2:11" x14ac:dyDescent="0.15">
      <c r="B86" s="28"/>
      <c r="C86" s="28"/>
      <c r="D86" s="28"/>
      <c r="E86" s="28"/>
      <c r="F86" s="28"/>
      <c r="G86" s="28"/>
      <c r="H86" s="28"/>
      <c r="I86" s="28"/>
      <c r="J86" s="28"/>
      <c r="K86" s="28"/>
    </row>
    <row r="87" spans="2:11" x14ac:dyDescent="0.15">
      <c r="B87" s="28"/>
      <c r="C87" s="28"/>
      <c r="D87" s="28"/>
      <c r="E87" s="28"/>
      <c r="F87" s="28"/>
      <c r="G87" s="28"/>
      <c r="H87" s="28"/>
      <c r="I87" s="28"/>
      <c r="J87" s="28"/>
      <c r="K87" s="28"/>
    </row>
    <row r="88" spans="2:11" x14ac:dyDescent="0.15">
      <c r="B88" s="28"/>
      <c r="C88" s="28"/>
      <c r="D88" s="28"/>
      <c r="E88" s="28"/>
      <c r="F88" s="28"/>
      <c r="G88" s="28"/>
      <c r="H88" s="28"/>
      <c r="I88" s="28"/>
      <c r="J88" s="28"/>
      <c r="K88" s="28"/>
    </row>
    <row r="89" spans="2:11" x14ac:dyDescent="0.15">
      <c r="B89" s="28"/>
      <c r="C89" s="28"/>
      <c r="D89" s="28"/>
      <c r="E89" s="28"/>
      <c r="F89" s="28"/>
      <c r="G89" s="28"/>
      <c r="H89" s="28"/>
      <c r="I89" s="28"/>
      <c r="J89" s="28"/>
      <c r="K89" s="28"/>
    </row>
    <row r="90" spans="2:11" x14ac:dyDescent="0.15">
      <c r="B90" s="28"/>
      <c r="C90" s="28"/>
      <c r="D90" s="28"/>
      <c r="E90" s="28"/>
      <c r="F90" s="28"/>
      <c r="G90" s="28"/>
      <c r="H90" s="28"/>
      <c r="I90" s="28"/>
      <c r="J90" s="28"/>
      <c r="K90" s="28"/>
    </row>
    <row r="91" spans="2:11" x14ac:dyDescent="0.15">
      <c r="B91" s="28"/>
      <c r="C91" s="28"/>
      <c r="D91" s="28"/>
      <c r="E91" s="28"/>
      <c r="F91" s="28"/>
      <c r="G91" s="28"/>
      <c r="H91" s="28"/>
      <c r="I91" s="28"/>
      <c r="J91" s="28"/>
      <c r="K91" s="28"/>
    </row>
    <row r="92" spans="2:11" x14ac:dyDescent="0.15">
      <c r="B92" s="28"/>
      <c r="C92" s="28"/>
      <c r="D92" s="28"/>
      <c r="E92" s="28"/>
      <c r="F92" s="28"/>
      <c r="G92" s="28"/>
      <c r="H92" s="28"/>
      <c r="I92" s="28"/>
      <c r="J92" s="28"/>
      <c r="K92" s="28"/>
    </row>
    <row r="93" spans="2:11" x14ac:dyDescent="0.15">
      <c r="B93" s="28"/>
      <c r="C93" s="28"/>
      <c r="D93" s="28"/>
      <c r="E93" s="28"/>
      <c r="F93" s="28"/>
      <c r="G93" s="28"/>
      <c r="H93" s="28"/>
      <c r="I93" s="28"/>
      <c r="J93" s="28"/>
      <c r="K93" s="28"/>
    </row>
    <row r="94" spans="2:11" x14ac:dyDescent="0.15">
      <c r="B94" s="28"/>
      <c r="C94" s="28"/>
      <c r="D94" s="28"/>
      <c r="E94" s="28"/>
      <c r="F94" s="28"/>
      <c r="G94" s="28"/>
      <c r="H94" s="28"/>
      <c r="I94" s="28"/>
      <c r="J94" s="28"/>
      <c r="K94" s="28"/>
    </row>
    <row r="95" spans="2:11" x14ac:dyDescent="0.15">
      <c r="B95" s="28"/>
      <c r="C95" s="28"/>
      <c r="D95" s="28"/>
      <c r="E95" s="28"/>
      <c r="F95" s="28"/>
      <c r="G95" s="28"/>
      <c r="H95" s="28"/>
      <c r="I95" s="28"/>
      <c r="J95" s="28"/>
      <c r="K95" s="28"/>
    </row>
    <row r="96" spans="2:11" x14ac:dyDescent="0.15">
      <c r="B96" s="28"/>
      <c r="C96" s="28"/>
      <c r="D96" s="28"/>
      <c r="E96" s="28"/>
      <c r="F96" s="28"/>
      <c r="G96" s="28"/>
      <c r="H96" s="28"/>
      <c r="I96" s="28"/>
      <c r="J96" s="28"/>
      <c r="K96" s="28"/>
    </row>
    <row r="97" spans="2:11" x14ac:dyDescent="0.15">
      <c r="B97" s="28"/>
      <c r="C97" s="28"/>
      <c r="D97" s="28"/>
      <c r="E97" s="28"/>
      <c r="F97" s="28"/>
      <c r="G97" s="28"/>
      <c r="H97" s="28"/>
      <c r="I97" s="28"/>
      <c r="J97" s="28"/>
      <c r="K97" s="28"/>
    </row>
    <row r="98" spans="2:11" x14ac:dyDescent="0.15">
      <c r="B98" s="28"/>
      <c r="C98" s="28"/>
      <c r="D98" s="28"/>
      <c r="E98" s="28"/>
      <c r="F98" s="28"/>
      <c r="G98" s="28"/>
      <c r="H98" s="28"/>
      <c r="I98" s="28"/>
      <c r="J98" s="28"/>
      <c r="K98" s="28"/>
    </row>
    <row r="99" spans="2:11" x14ac:dyDescent="0.15">
      <c r="B99" s="28"/>
      <c r="C99" s="28"/>
      <c r="D99" s="28"/>
      <c r="E99" s="28"/>
      <c r="F99" s="28"/>
      <c r="G99" s="28"/>
      <c r="H99" s="28"/>
      <c r="I99" s="28"/>
      <c r="J99" s="28"/>
      <c r="K99" s="28"/>
    </row>
    <row r="100" spans="2:11" x14ac:dyDescent="0.15">
      <c r="B100" s="28"/>
      <c r="C100" s="28"/>
      <c r="D100" s="28"/>
      <c r="E100" s="28"/>
      <c r="F100" s="28"/>
      <c r="G100" s="28"/>
      <c r="H100" s="28"/>
      <c r="I100" s="28"/>
      <c r="J100" s="28"/>
      <c r="K100" s="28"/>
    </row>
    <row r="101" spans="2:11" x14ac:dyDescent="0.15">
      <c r="B101" s="28"/>
      <c r="C101" s="28"/>
      <c r="D101" s="28"/>
      <c r="E101" s="28"/>
      <c r="F101" s="28"/>
      <c r="G101" s="28"/>
      <c r="H101" s="28"/>
      <c r="I101" s="28"/>
      <c r="J101" s="28"/>
      <c r="K101" s="28"/>
    </row>
    <row r="102" spans="2:11" x14ac:dyDescent="0.15">
      <c r="B102" s="28"/>
      <c r="C102" s="28"/>
      <c r="D102" s="28"/>
      <c r="E102" s="28"/>
      <c r="F102" s="28"/>
      <c r="G102" s="28"/>
      <c r="H102" s="28"/>
      <c r="I102" s="28"/>
      <c r="J102" s="28"/>
      <c r="K102" s="28"/>
    </row>
    <row r="103" spans="2:11" x14ac:dyDescent="0.15">
      <c r="B103" s="28"/>
      <c r="C103" s="28"/>
      <c r="D103" s="28"/>
      <c r="E103" s="28"/>
      <c r="F103" s="28"/>
      <c r="G103" s="28"/>
      <c r="H103" s="28"/>
      <c r="I103" s="28"/>
      <c r="J103" s="28"/>
      <c r="K103" s="28"/>
    </row>
    <row r="104" spans="2:11" x14ac:dyDescent="0.15">
      <c r="B104" s="28"/>
      <c r="C104" s="28"/>
      <c r="D104" s="28"/>
      <c r="E104" s="28"/>
      <c r="F104" s="28"/>
      <c r="G104" s="28"/>
      <c r="H104" s="28"/>
      <c r="I104" s="28"/>
      <c r="J104" s="28"/>
      <c r="K104" s="28"/>
    </row>
    <row r="105" spans="2:11" x14ac:dyDescent="0.15">
      <c r="B105" s="28"/>
      <c r="C105" s="28"/>
      <c r="D105" s="28"/>
      <c r="E105" s="28"/>
      <c r="F105" s="28"/>
      <c r="G105" s="28"/>
      <c r="H105" s="28"/>
      <c r="I105" s="28"/>
      <c r="J105" s="28"/>
      <c r="K105" s="28"/>
    </row>
    <row r="106" spans="2:11" x14ac:dyDescent="0.15">
      <c r="B106" s="28"/>
      <c r="C106" s="28"/>
      <c r="D106" s="28"/>
      <c r="E106" s="28"/>
      <c r="F106" s="28"/>
      <c r="G106" s="28"/>
      <c r="H106" s="28"/>
      <c r="I106" s="28"/>
      <c r="J106" s="28"/>
      <c r="K106" s="28"/>
    </row>
    <row r="107" spans="2:11" x14ac:dyDescent="0.15">
      <c r="B107" s="28"/>
      <c r="C107" s="28"/>
      <c r="D107" s="28"/>
      <c r="E107" s="28"/>
      <c r="F107" s="28"/>
      <c r="G107" s="28"/>
      <c r="H107" s="28"/>
      <c r="I107" s="28"/>
      <c r="J107" s="28"/>
      <c r="K107" s="28"/>
    </row>
    <row r="108" spans="2:11" x14ac:dyDescent="0.15">
      <c r="B108" s="28"/>
      <c r="C108" s="28"/>
      <c r="D108" s="28"/>
      <c r="E108" s="28"/>
      <c r="F108" s="28"/>
      <c r="G108" s="28"/>
      <c r="H108" s="28"/>
      <c r="I108" s="28"/>
      <c r="J108" s="28"/>
      <c r="K108" s="28"/>
    </row>
    <row r="109" spans="2:11" x14ac:dyDescent="0.15">
      <c r="B109" s="28"/>
      <c r="C109" s="28"/>
      <c r="D109" s="28"/>
      <c r="E109" s="28"/>
      <c r="F109" s="28"/>
      <c r="G109" s="28"/>
      <c r="H109" s="28"/>
      <c r="I109" s="28"/>
      <c r="J109" s="28"/>
      <c r="K109" s="28"/>
    </row>
    <row r="110" spans="2:11" x14ac:dyDescent="0.15">
      <c r="B110" s="28"/>
      <c r="C110" s="28"/>
      <c r="D110" s="28"/>
      <c r="E110" s="28"/>
      <c r="F110" s="28"/>
      <c r="G110" s="28"/>
      <c r="H110" s="28"/>
      <c r="I110" s="28"/>
      <c r="J110" s="28"/>
      <c r="K110" s="28"/>
    </row>
    <row r="111" spans="2:11" x14ac:dyDescent="0.15">
      <c r="B111" s="28"/>
      <c r="C111" s="28"/>
      <c r="D111" s="28"/>
      <c r="E111" s="28"/>
      <c r="F111" s="28"/>
      <c r="G111" s="28"/>
      <c r="H111" s="28"/>
      <c r="I111" s="28"/>
      <c r="J111" s="28"/>
      <c r="K111" s="28"/>
    </row>
    <row r="112" spans="2:11" x14ac:dyDescent="0.15">
      <c r="B112" s="28"/>
      <c r="C112" s="28"/>
      <c r="D112" s="28"/>
      <c r="E112" s="28"/>
      <c r="F112" s="28"/>
      <c r="G112" s="28"/>
      <c r="H112" s="28"/>
      <c r="I112" s="28"/>
      <c r="J112" s="28"/>
      <c r="K112" s="28"/>
    </row>
    <row r="113" spans="2:11" x14ac:dyDescent="0.15">
      <c r="B113" s="28"/>
      <c r="C113" s="28"/>
      <c r="D113" s="28"/>
      <c r="E113" s="28"/>
      <c r="F113" s="28"/>
      <c r="G113" s="28"/>
      <c r="H113" s="28"/>
      <c r="I113" s="28"/>
      <c r="J113" s="28"/>
      <c r="K113" s="28"/>
    </row>
    <row r="114" spans="2:11" x14ac:dyDescent="0.15">
      <c r="B114" s="28"/>
      <c r="C114" s="28"/>
      <c r="D114" s="28"/>
      <c r="E114" s="28"/>
      <c r="F114" s="28"/>
      <c r="G114" s="28"/>
      <c r="H114" s="28"/>
      <c r="I114" s="28"/>
      <c r="J114" s="28"/>
      <c r="K114" s="28"/>
    </row>
    <row r="115" spans="2:11" x14ac:dyDescent="0.15">
      <c r="B115" s="28"/>
      <c r="C115" s="28"/>
      <c r="D115" s="28"/>
      <c r="E115" s="28"/>
      <c r="F115" s="28"/>
      <c r="G115" s="28"/>
      <c r="H115" s="28"/>
      <c r="I115" s="28"/>
      <c r="J115" s="28"/>
      <c r="K115" s="28"/>
    </row>
    <row r="116" spans="2:11" x14ac:dyDescent="0.15">
      <c r="B116" s="28"/>
      <c r="C116" s="28"/>
      <c r="D116" s="28"/>
      <c r="E116" s="28"/>
      <c r="F116" s="28"/>
      <c r="G116" s="28"/>
      <c r="H116" s="28"/>
      <c r="I116" s="28"/>
      <c r="J116" s="28"/>
      <c r="K116" s="28"/>
    </row>
    <row r="117" spans="2:11" x14ac:dyDescent="0.15">
      <c r="B117" s="28"/>
      <c r="C117" s="28"/>
      <c r="D117" s="28"/>
      <c r="E117" s="28"/>
      <c r="F117" s="28"/>
      <c r="G117" s="28"/>
      <c r="H117" s="28"/>
      <c r="I117" s="28"/>
      <c r="J117" s="28"/>
      <c r="K117" s="28"/>
    </row>
    <row r="118" spans="2:11" x14ac:dyDescent="0.15">
      <c r="B118" s="28"/>
      <c r="C118" s="28"/>
      <c r="D118" s="28"/>
      <c r="E118" s="28"/>
      <c r="F118" s="28"/>
      <c r="G118" s="28"/>
      <c r="H118" s="28"/>
      <c r="I118" s="28"/>
      <c r="J118" s="28"/>
      <c r="K118" s="28"/>
    </row>
    <row r="119" spans="2:11" x14ac:dyDescent="0.15">
      <c r="B119" s="28"/>
      <c r="C119" s="28"/>
      <c r="D119" s="28"/>
      <c r="E119" s="28"/>
      <c r="F119" s="28"/>
      <c r="G119" s="28"/>
      <c r="H119" s="28"/>
      <c r="I119" s="28"/>
      <c r="J119" s="28"/>
      <c r="K119" s="28"/>
    </row>
    <row r="120" spans="2:11" x14ac:dyDescent="0.15">
      <c r="B120" s="28"/>
      <c r="C120" s="28"/>
      <c r="D120" s="28"/>
      <c r="E120" s="28"/>
      <c r="F120" s="28"/>
      <c r="G120" s="28"/>
      <c r="H120" s="28"/>
      <c r="I120" s="28"/>
      <c r="J120" s="28"/>
      <c r="K120" s="28"/>
    </row>
    <row r="121" spans="2:11" x14ac:dyDescent="0.15">
      <c r="B121" s="28"/>
      <c r="C121" s="28"/>
      <c r="D121" s="28"/>
      <c r="E121" s="28"/>
      <c r="F121" s="28"/>
      <c r="G121" s="28"/>
      <c r="H121" s="28"/>
      <c r="I121" s="28"/>
      <c r="J121" s="28"/>
      <c r="K121" s="28"/>
    </row>
    <row r="122" spans="2:11" x14ac:dyDescent="0.15">
      <c r="B122" s="28"/>
      <c r="C122" s="28"/>
      <c r="D122" s="28"/>
      <c r="E122" s="28"/>
      <c r="F122" s="28"/>
      <c r="G122" s="28"/>
      <c r="H122" s="28"/>
      <c r="I122" s="28"/>
      <c r="J122" s="28"/>
      <c r="K122" s="28"/>
    </row>
    <row r="123" spans="2:11" x14ac:dyDescent="0.15">
      <c r="B123" s="28"/>
      <c r="C123" s="28"/>
      <c r="D123" s="28"/>
      <c r="E123" s="28"/>
      <c r="F123" s="28"/>
      <c r="G123" s="28"/>
      <c r="H123" s="28"/>
      <c r="I123" s="28"/>
      <c r="J123" s="28"/>
      <c r="K123" s="28"/>
    </row>
    <row r="124" spans="2:11" x14ac:dyDescent="0.15">
      <c r="B124" s="28"/>
      <c r="C124" s="28"/>
      <c r="D124" s="28"/>
      <c r="E124" s="28"/>
      <c r="F124" s="28"/>
      <c r="G124" s="28"/>
      <c r="H124" s="28"/>
      <c r="I124" s="28"/>
      <c r="J124" s="28"/>
      <c r="K124" s="28"/>
    </row>
    <row r="125" spans="2:11" x14ac:dyDescent="0.15">
      <c r="B125" s="28"/>
      <c r="C125" s="28"/>
      <c r="D125" s="28"/>
      <c r="E125" s="28"/>
      <c r="F125" s="28"/>
      <c r="G125" s="28"/>
      <c r="H125" s="28"/>
      <c r="I125" s="28"/>
      <c r="J125" s="28"/>
      <c r="K125" s="28"/>
    </row>
    <row r="126" spans="2:11" x14ac:dyDescent="0.15">
      <c r="B126" s="28"/>
      <c r="C126" s="28"/>
      <c r="D126" s="28"/>
      <c r="E126" s="28"/>
      <c r="F126" s="28"/>
      <c r="G126" s="28"/>
      <c r="H126" s="28"/>
      <c r="I126" s="28"/>
      <c r="J126" s="28"/>
      <c r="K126" s="28"/>
    </row>
    <row r="127" spans="2:11" x14ac:dyDescent="0.15">
      <c r="B127" s="28"/>
      <c r="C127" s="28"/>
      <c r="D127" s="28"/>
      <c r="E127" s="28"/>
      <c r="F127" s="28"/>
      <c r="G127" s="28"/>
      <c r="H127" s="28"/>
      <c r="I127" s="28"/>
      <c r="J127" s="28"/>
      <c r="K127" s="28"/>
    </row>
    <row r="128" spans="2:11" x14ac:dyDescent="0.15">
      <c r="B128" s="28"/>
      <c r="C128" s="28"/>
      <c r="D128" s="28"/>
      <c r="E128" s="28"/>
      <c r="F128" s="28"/>
      <c r="G128" s="28"/>
      <c r="H128" s="28"/>
      <c r="I128" s="28"/>
      <c r="J128" s="28"/>
      <c r="K128" s="28"/>
    </row>
    <row r="129" spans="2:11" x14ac:dyDescent="0.15">
      <c r="B129" s="28"/>
      <c r="C129" s="28"/>
      <c r="D129" s="28"/>
      <c r="E129" s="28"/>
      <c r="F129" s="28"/>
      <c r="G129" s="28"/>
      <c r="H129" s="28"/>
      <c r="I129" s="28"/>
      <c r="J129" s="28"/>
      <c r="K129" s="28"/>
    </row>
    <row r="130" spans="2:11" x14ac:dyDescent="0.15">
      <c r="B130" s="28"/>
      <c r="C130" s="28"/>
      <c r="D130" s="28"/>
      <c r="E130" s="28"/>
      <c r="F130" s="28"/>
      <c r="G130" s="28"/>
      <c r="H130" s="28"/>
      <c r="I130" s="28"/>
      <c r="J130" s="28"/>
      <c r="K130" s="28"/>
    </row>
    <row r="131" spans="2:11" x14ac:dyDescent="0.15">
      <c r="B131" s="28"/>
      <c r="C131" s="28"/>
      <c r="D131" s="28"/>
      <c r="E131" s="28"/>
      <c r="F131" s="28"/>
      <c r="G131" s="28"/>
      <c r="H131" s="28"/>
      <c r="I131" s="28"/>
      <c r="J131" s="28"/>
      <c r="K131" s="28"/>
    </row>
    <row r="132" spans="2:11" x14ac:dyDescent="0.15">
      <c r="B132" s="28"/>
      <c r="C132" s="28"/>
      <c r="D132" s="28"/>
      <c r="E132" s="28"/>
      <c r="F132" s="28"/>
      <c r="G132" s="28"/>
      <c r="H132" s="28"/>
      <c r="I132" s="28"/>
      <c r="J132" s="28"/>
      <c r="K132" s="28"/>
    </row>
    <row r="133" spans="2:11" x14ac:dyDescent="0.15">
      <c r="B133" s="28"/>
      <c r="C133" s="28"/>
      <c r="D133" s="28"/>
      <c r="E133" s="28"/>
      <c r="F133" s="28"/>
      <c r="G133" s="28"/>
      <c r="H133" s="28"/>
      <c r="I133" s="28"/>
      <c r="J133" s="28"/>
      <c r="K133" s="28"/>
    </row>
    <row r="134" spans="2:11" x14ac:dyDescent="0.15">
      <c r="B134" s="28"/>
      <c r="C134" s="28"/>
      <c r="D134" s="28"/>
      <c r="E134" s="28"/>
      <c r="F134" s="28"/>
      <c r="G134" s="28"/>
      <c r="H134" s="28"/>
      <c r="I134" s="28"/>
      <c r="J134" s="28"/>
      <c r="K134" s="28"/>
    </row>
    <row r="135" spans="2:11" x14ac:dyDescent="0.15">
      <c r="B135" s="28"/>
      <c r="C135" s="28"/>
      <c r="D135" s="28"/>
      <c r="E135" s="28"/>
      <c r="F135" s="28"/>
      <c r="G135" s="28"/>
      <c r="H135" s="28"/>
      <c r="I135" s="28"/>
      <c r="J135" s="28"/>
      <c r="K135" s="28"/>
    </row>
  </sheetData>
  <mergeCells count="16">
    <mergeCell ref="D2:F2"/>
    <mergeCell ref="D3:F3"/>
    <mergeCell ref="D5:F5"/>
    <mergeCell ref="D6:F6"/>
    <mergeCell ref="D7:F7"/>
    <mergeCell ref="E19:F19"/>
    <mergeCell ref="D4:F4"/>
    <mergeCell ref="D15:F15"/>
    <mergeCell ref="D16:F16"/>
    <mergeCell ref="D12:F12"/>
    <mergeCell ref="D13:F13"/>
    <mergeCell ref="D14:F14"/>
    <mergeCell ref="D11:F11"/>
    <mergeCell ref="D8:F8"/>
    <mergeCell ref="D9:F9"/>
    <mergeCell ref="D10:F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S62"/>
  <sheetViews>
    <sheetView topLeftCell="J2" zoomScale="85" zoomScaleNormal="85" workbookViewId="0">
      <selection activeCell="L21" sqref="L21:N21"/>
    </sheetView>
  </sheetViews>
  <sheetFormatPr defaultRowHeight="12.75" x14ac:dyDescent="0.15"/>
  <cols>
    <col min="4" max="4" width="20.6328125" customWidth="1"/>
    <col min="5" max="5" width="47.6015625" customWidth="1"/>
    <col min="6" max="10" width="12.5390625" bestFit="1" customWidth="1"/>
    <col min="14" max="14" width="39.10546875" customWidth="1"/>
    <col min="15" max="15" width="13.75390625" customWidth="1"/>
    <col min="16" max="16" width="15.91015625" customWidth="1"/>
    <col min="17" max="17" width="15.1015625" customWidth="1"/>
    <col min="18" max="18" width="14.42578125" customWidth="1"/>
    <col min="19" max="19" width="14.5625" customWidth="1"/>
    <col min="20" max="20" width="11.73046875" customWidth="1"/>
    <col min="21" max="21" width="10.24609375" customWidth="1"/>
    <col min="22" max="22" width="10.11328125" customWidth="1"/>
    <col min="23" max="23" width="9.84375" customWidth="1"/>
    <col min="24" max="24" width="10.11328125" bestFit="1" customWidth="1"/>
  </cols>
  <sheetData>
    <row r="1" spans="3:19" x14ac:dyDescent="0.15">
      <c r="C1" s="85"/>
      <c r="D1" s="85"/>
      <c r="E1" s="85"/>
      <c r="F1" s="85"/>
      <c r="G1" s="85"/>
      <c r="H1" s="85"/>
      <c r="I1" s="85"/>
      <c r="J1" s="85"/>
    </row>
    <row r="2" spans="3:19" ht="15" x14ac:dyDescent="0.2">
      <c r="C2" s="85"/>
      <c r="D2" s="85"/>
      <c r="E2" s="85"/>
      <c r="F2" s="85"/>
      <c r="G2" s="85"/>
      <c r="H2" s="85"/>
      <c r="I2" s="85"/>
      <c r="J2" s="85"/>
      <c r="L2" s="113"/>
      <c r="M2" s="114"/>
      <c r="N2" s="114"/>
      <c r="O2" s="29">
        <v>2021</v>
      </c>
      <c r="P2" s="29">
        <v>2020</v>
      </c>
      <c r="Q2" s="29">
        <v>2019</v>
      </c>
      <c r="R2" s="29">
        <v>2018</v>
      </c>
      <c r="S2" s="29">
        <v>2017</v>
      </c>
    </row>
    <row r="3" spans="3:19" ht="22.5" x14ac:dyDescent="0.25">
      <c r="C3" s="115" t="s">
        <v>137</v>
      </c>
      <c r="D3" s="115"/>
      <c r="E3" s="115"/>
      <c r="F3" s="115"/>
      <c r="G3" s="115"/>
      <c r="H3" s="115"/>
      <c r="I3" s="115"/>
      <c r="J3" s="115"/>
      <c r="L3" s="111" t="s">
        <v>61</v>
      </c>
      <c r="M3" s="112"/>
      <c r="N3" s="112"/>
      <c r="O3" s="34">
        <f>'Profitability Ratios'!G3</f>
        <v>177568660</v>
      </c>
      <c r="P3" s="34">
        <f>'Profitability Ratios'!H3</f>
        <v>192991383</v>
      </c>
      <c r="Q3" s="34">
        <f>'Profitability Ratios'!I3</f>
        <v>171346817</v>
      </c>
      <c r="R3" s="34">
        <f>'Profitability Ratios'!J3</f>
        <v>151322879</v>
      </c>
      <c r="S3" s="34">
        <f>'Profitability Ratios'!K3</f>
        <v>156543081</v>
      </c>
    </row>
    <row r="4" spans="3:19" ht="15" x14ac:dyDescent="0.2">
      <c r="C4" s="92"/>
      <c r="D4" s="92"/>
      <c r="E4" s="92"/>
      <c r="F4" s="93">
        <v>2021</v>
      </c>
      <c r="G4" s="93">
        <v>2020</v>
      </c>
      <c r="H4" s="93">
        <v>2019</v>
      </c>
      <c r="I4" s="93">
        <v>2018</v>
      </c>
      <c r="J4" s="93">
        <v>2017</v>
      </c>
      <c r="L4" s="111" t="s">
        <v>58</v>
      </c>
      <c r="M4" s="112"/>
      <c r="N4" s="112"/>
      <c r="O4" s="34">
        <f>'Profitability Ratios'!G8</f>
        <v>2122121479</v>
      </c>
      <c r="P4" s="34">
        <f>'Profitability Ratios'!H8</f>
        <v>1891276395</v>
      </c>
      <c r="Q4" s="34">
        <f>'Profitability Ratios'!I8</f>
        <v>1612214871</v>
      </c>
      <c r="R4" s="34">
        <f>'Profitability Ratios'!J8</f>
        <v>1585210007</v>
      </c>
      <c r="S4" s="34">
        <f>'Profitability Ratios'!K8</f>
        <v>1389492056</v>
      </c>
    </row>
    <row r="5" spans="3:19" ht="15" x14ac:dyDescent="0.2">
      <c r="C5" s="117" t="s">
        <v>135</v>
      </c>
      <c r="D5" s="117"/>
      <c r="E5" s="117"/>
      <c r="F5" s="97">
        <f>O13/O19</f>
        <v>5800.8930969037865</v>
      </c>
      <c r="G5" s="97">
        <f t="shared" ref="G5:J5" si="0">P13/P19</f>
        <v>7427.3026171191395</v>
      </c>
      <c r="H5" s="97">
        <f t="shared" si="0"/>
        <v>10149.155015610795</v>
      </c>
      <c r="I5" s="97">
        <f t="shared" si="0"/>
        <v>11236.290681110289</v>
      </c>
      <c r="J5" s="97">
        <f t="shared" si="0"/>
        <v>10545.641699208136</v>
      </c>
      <c r="L5" s="111" t="s">
        <v>160</v>
      </c>
      <c r="M5" s="112"/>
      <c r="N5" s="112"/>
      <c r="O5" s="34">
        <f>'Balance Sheet Consolidated'!D25</f>
        <v>1944552819</v>
      </c>
      <c r="P5" s="34">
        <f>'Balance Sheet Consolidated'!E25</f>
        <v>1698285012</v>
      </c>
      <c r="Q5" s="34">
        <f>'Balance Sheet Consolidated'!F25</f>
        <v>1440868054</v>
      </c>
      <c r="R5" s="34">
        <f>'Balance Sheet Consolidated'!G25</f>
        <v>1433887128</v>
      </c>
      <c r="S5" s="34">
        <f>'Balance Sheet Consolidated'!H25</f>
        <v>1232948975</v>
      </c>
    </row>
    <row r="6" spans="3:19" ht="15" x14ac:dyDescent="0.2">
      <c r="C6" s="117" t="s">
        <v>136</v>
      </c>
      <c r="D6" s="117"/>
      <c r="E6" s="117"/>
      <c r="F6" s="86">
        <f>O3/O4</f>
        <v>8.3675068443148259E-2</v>
      </c>
      <c r="G6" s="86">
        <f t="shared" ref="G6:J6" si="1">P3/P4</f>
        <v>0.10204292905585595</v>
      </c>
      <c r="H6" s="86">
        <f t="shared" si="1"/>
        <v>0.10628038488053371</v>
      </c>
      <c r="I6" s="86">
        <f t="shared" si="1"/>
        <v>9.5459199936781619E-2</v>
      </c>
      <c r="J6" s="86">
        <f t="shared" si="1"/>
        <v>0.11266209139089889</v>
      </c>
      <c r="L6" s="111" t="s">
        <v>161</v>
      </c>
      <c r="M6" s="112"/>
      <c r="N6" s="112"/>
      <c r="O6" s="34">
        <f>'Balance Sheet Consolidated'!D20</f>
        <v>1534586671</v>
      </c>
      <c r="P6" s="34">
        <f>'Balance Sheet Consolidated'!E20</f>
        <v>1388737961</v>
      </c>
      <c r="Q6" s="34">
        <f>'Balance Sheet Consolidated'!F20</f>
        <v>1226593025</v>
      </c>
      <c r="R6" s="34">
        <f>'Balance Sheet Consolidated'!G20</f>
        <v>1122306535</v>
      </c>
      <c r="S6" s="34">
        <f>'Balance Sheet Consolidated'!H20</f>
        <v>1001146162</v>
      </c>
    </row>
    <row r="7" spans="3:19" ht="15" x14ac:dyDescent="0.2">
      <c r="C7" s="117" t="s">
        <v>138</v>
      </c>
      <c r="D7" s="117"/>
      <c r="E7" s="117"/>
      <c r="F7" s="86">
        <f>O30/O5</f>
        <v>5.6150987483153572E-2</v>
      </c>
      <c r="G7" s="86">
        <f>P30/P5</f>
        <v>4.5396131070607366E-2</v>
      </c>
      <c r="H7" s="86">
        <f>Q30/Q5</f>
        <v>3.6817560673046888E-2</v>
      </c>
      <c r="I7" s="86">
        <f>R30/R5</f>
        <v>2.9865068291484099E-2</v>
      </c>
      <c r="J7" s="86">
        <f>S30/S5</f>
        <v>3.2169674337090878E-2</v>
      </c>
      <c r="L7" s="111" t="s">
        <v>173</v>
      </c>
      <c r="M7" s="112"/>
      <c r="N7" s="112"/>
      <c r="O7" s="34">
        <f>O46</f>
        <v>489020153</v>
      </c>
      <c r="P7" s="34">
        <f>P46</f>
        <v>431619365</v>
      </c>
      <c r="Q7" s="34">
        <f>Q46</f>
        <v>393690515</v>
      </c>
      <c r="R7" s="34">
        <f>R46</f>
        <v>329400809</v>
      </c>
      <c r="S7" s="34">
        <f>S46</f>
        <v>302015652</v>
      </c>
    </row>
    <row r="8" spans="3:19" ht="15" x14ac:dyDescent="0.2">
      <c r="C8" s="117" t="s">
        <v>139</v>
      </c>
      <c r="D8" s="117"/>
      <c r="E8" s="117"/>
      <c r="F8" s="86">
        <f>O3/O9</f>
        <v>9.9223967777726324E-2</v>
      </c>
      <c r="G8" s="86">
        <f t="shared" ref="G8:J8" si="2">P3/P9</f>
        <v>0.12047869300796081</v>
      </c>
      <c r="H8" s="86">
        <f t="shared" si="2"/>
        <v>0.13060216493295176</v>
      </c>
      <c r="I8" s="86">
        <f t="shared" si="2"/>
        <v>0.11124000004910581</v>
      </c>
      <c r="J8" s="86">
        <f t="shared" si="2"/>
        <v>0.13422086630548624</v>
      </c>
      <c r="L8" s="111" t="s">
        <v>162</v>
      </c>
      <c r="M8" s="112"/>
      <c r="N8" s="112"/>
      <c r="O8" s="34">
        <f>O35</f>
        <v>732440841</v>
      </c>
      <c r="P8" s="34">
        <f>P35</f>
        <v>598365775</v>
      </c>
      <c r="Q8" s="34">
        <f>Q35</f>
        <v>591871632</v>
      </c>
      <c r="R8" s="34">
        <f>R35</f>
        <v>610028645</v>
      </c>
      <c r="S8" s="34">
        <f>S35</f>
        <v>493089800</v>
      </c>
    </row>
    <row r="9" spans="3:19" ht="15" x14ac:dyDescent="0.2">
      <c r="C9" s="85"/>
      <c r="D9" s="85"/>
      <c r="E9" s="85"/>
      <c r="F9" s="85"/>
      <c r="G9" s="85"/>
      <c r="H9" s="85"/>
      <c r="I9" s="85"/>
      <c r="J9" s="85"/>
      <c r="L9" s="111" t="s">
        <v>163</v>
      </c>
      <c r="M9" s="112"/>
      <c r="N9" s="112"/>
      <c r="O9" s="34">
        <f>SUM('Balance Sheet Consolidated'!D8:D10)</f>
        <v>1789574273</v>
      </c>
      <c r="P9" s="34">
        <f>SUM('Balance Sheet Consolidated'!E8:E10)</f>
        <v>1601871486</v>
      </c>
      <c r="Q9" s="34">
        <f>SUM('Balance Sheet Consolidated'!F8:F10)</f>
        <v>1311975319</v>
      </c>
      <c r="R9" s="34">
        <f>SUM('Balance Sheet Consolidated'!G8:G10)</f>
        <v>1360327930</v>
      </c>
      <c r="S9" s="34">
        <f>SUM('Balance Sheet Consolidated'!H8:H10)</f>
        <v>1166309571</v>
      </c>
    </row>
    <row r="10" spans="3:19" ht="22.5" x14ac:dyDescent="0.25">
      <c r="C10" s="115" t="s">
        <v>178</v>
      </c>
      <c r="D10" s="115"/>
      <c r="E10" s="115"/>
      <c r="F10" s="115"/>
      <c r="G10" s="115"/>
      <c r="H10" s="115"/>
      <c r="I10" s="115"/>
      <c r="J10" s="115"/>
      <c r="L10" s="111" t="s">
        <v>164</v>
      </c>
      <c r="M10" s="112"/>
      <c r="N10" s="112"/>
      <c r="O10" s="34">
        <f>O30</f>
        <v>109188561</v>
      </c>
      <c r="P10" s="34">
        <f>P30</f>
        <v>77095569</v>
      </c>
      <c r="Q10" s="34">
        <f>Q30</f>
        <v>53049247</v>
      </c>
      <c r="R10" s="34">
        <f>R30</f>
        <v>42823137</v>
      </c>
      <c r="S10" s="34">
        <f>S30</f>
        <v>39663567</v>
      </c>
    </row>
    <row r="11" spans="3:19" ht="15" x14ac:dyDescent="0.2">
      <c r="C11" s="92"/>
      <c r="D11" s="92"/>
      <c r="E11" s="92"/>
      <c r="F11" s="93">
        <v>2021</v>
      </c>
      <c r="G11" s="93">
        <v>2020</v>
      </c>
      <c r="H11" s="93">
        <v>2019</v>
      </c>
      <c r="I11" s="93">
        <v>2018</v>
      </c>
      <c r="J11" s="93">
        <v>2017</v>
      </c>
      <c r="L11" s="111" t="s">
        <v>165</v>
      </c>
      <c r="M11" s="112"/>
      <c r="N11" s="112"/>
      <c r="O11" s="34">
        <f>'Profitability Ratios'!G13</f>
        <v>1810826777</v>
      </c>
      <c r="P11" s="34">
        <f>'Profitability Ratios'!H13</f>
        <v>1615678140</v>
      </c>
      <c r="Q11" s="34">
        <f>'Profitability Ratios'!I13</f>
        <v>1335154275</v>
      </c>
      <c r="R11" s="34">
        <f>'Profitability Ratios'!J13</f>
        <v>1376948432</v>
      </c>
      <c r="S11" s="34">
        <f>'Profitability Ratios'!K13</f>
        <v>1179870908</v>
      </c>
    </row>
    <row r="12" spans="3:19" ht="15" x14ac:dyDescent="0.2">
      <c r="C12" s="117" t="s">
        <v>140</v>
      </c>
      <c r="D12" s="117"/>
      <c r="E12" s="117"/>
      <c r="F12" s="95">
        <f>O21/O20</f>
        <v>1.1951227171769274</v>
      </c>
      <c r="G12" s="95">
        <f>P21/P20</f>
        <v>1.1456573613461003</v>
      </c>
      <c r="H12" s="95">
        <f>Q21/Q20</f>
        <v>1.5155740626186207</v>
      </c>
      <c r="I12" s="95">
        <f>R21/R20</f>
        <v>1.1507151307983698</v>
      </c>
      <c r="J12" s="95">
        <f>S21/S20</f>
        <v>1.0270400120106262</v>
      </c>
      <c r="L12" s="111" t="s">
        <v>110</v>
      </c>
      <c r="M12" s="112"/>
      <c r="N12" s="112"/>
      <c r="O12" s="34">
        <f>'Profitability Ratios'!G14</f>
        <v>1272388564</v>
      </c>
      <c r="P12" s="34">
        <f>'Profitability Ratios'!H14</f>
        <v>1106314022</v>
      </c>
      <c r="Q12" s="34">
        <f>'Profitability Ratios'!I14</f>
        <v>909989503</v>
      </c>
      <c r="R12" s="34">
        <f>'Profitability Ratios'!J14</f>
        <v>973973744</v>
      </c>
      <c r="S12" s="34">
        <f>'Profitability Ratios'!K14</f>
        <v>817258185</v>
      </c>
    </row>
    <row r="13" spans="3:19" ht="15" x14ac:dyDescent="0.2">
      <c r="C13" s="117" t="s">
        <v>186</v>
      </c>
      <c r="D13" s="117"/>
      <c r="E13" s="117"/>
      <c r="F13" s="96">
        <f>O34/O16</f>
        <v>3296.5789812608668</v>
      </c>
      <c r="G13" s="96">
        <f>P34/P16</f>
        <v>3365.0008421325388</v>
      </c>
      <c r="H13" s="96">
        <f>Q34/Q16</f>
        <v>3694.7838278931749</v>
      </c>
      <c r="I13" s="96">
        <f>R34/R16</f>
        <v>3807.6449455676516</v>
      </c>
      <c r="J13" s="96">
        <f>S34/S16</f>
        <v>3662.6227908406331</v>
      </c>
      <c r="L13" s="111" t="s">
        <v>166</v>
      </c>
      <c r="M13" s="112"/>
      <c r="N13" s="112"/>
      <c r="O13" s="34">
        <v>153.35</v>
      </c>
      <c r="P13" s="34">
        <v>185.28</v>
      </c>
      <c r="Q13" s="34">
        <v>205.09</v>
      </c>
      <c r="R13" s="34">
        <v>193.57</v>
      </c>
      <c r="S13" s="34">
        <v>202.54</v>
      </c>
    </row>
    <row r="14" spans="3:19" ht="15" x14ac:dyDescent="0.2">
      <c r="C14" s="85"/>
      <c r="D14" s="85"/>
      <c r="E14" s="85"/>
      <c r="F14" s="85"/>
      <c r="G14" s="85"/>
      <c r="H14" s="85"/>
      <c r="I14" s="85"/>
      <c r="J14" s="85"/>
      <c r="L14" s="111" t="s">
        <v>169</v>
      </c>
      <c r="M14" s="112"/>
      <c r="N14" s="112"/>
      <c r="O14" s="34">
        <v>51192575</v>
      </c>
      <c r="P14" s="34">
        <v>51945518</v>
      </c>
      <c r="Q14" s="34">
        <v>49424259</v>
      </c>
      <c r="R14" s="34">
        <v>48955548</v>
      </c>
      <c r="S14" s="34">
        <v>48753000</v>
      </c>
    </row>
    <row r="15" spans="3:19" ht="22.5" x14ac:dyDescent="0.25">
      <c r="C15" s="115" t="s">
        <v>141</v>
      </c>
      <c r="D15" s="115"/>
      <c r="E15" s="115"/>
      <c r="F15" s="115"/>
      <c r="G15" s="115"/>
      <c r="H15" s="115"/>
      <c r="I15" s="115"/>
      <c r="J15" s="115"/>
      <c r="L15" s="111" t="s">
        <v>168</v>
      </c>
      <c r="M15" s="112"/>
      <c r="N15" s="112"/>
      <c r="O15" s="34">
        <v>44281189</v>
      </c>
      <c r="P15" s="34">
        <v>45168351</v>
      </c>
      <c r="Q15" s="34">
        <v>41934421</v>
      </c>
      <c r="R15" s="34">
        <v>41943509</v>
      </c>
      <c r="S15" s="34">
        <v>44587000</v>
      </c>
    </row>
    <row r="16" spans="3:19" ht="15" x14ac:dyDescent="0.2">
      <c r="C16" s="92"/>
      <c r="D16" s="92"/>
      <c r="E16" s="92"/>
      <c r="F16" s="93">
        <v>2021</v>
      </c>
      <c r="G16" s="93">
        <v>2020</v>
      </c>
      <c r="H16" s="93">
        <v>2019</v>
      </c>
      <c r="I16" s="93">
        <v>2018</v>
      </c>
      <c r="J16" s="93">
        <v>2017</v>
      </c>
      <c r="L16" s="111" t="s">
        <v>167</v>
      </c>
      <c r="M16" s="112"/>
      <c r="N16" s="112"/>
      <c r="O16" s="34">
        <v>15529</v>
      </c>
      <c r="P16" s="34">
        <v>15437</v>
      </c>
      <c r="Q16" s="34">
        <v>13480</v>
      </c>
      <c r="R16" s="34">
        <v>12860</v>
      </c>
      <c r="S16" s="34">
        <v>13014</v>
      </c>
    </row>
    <row r="17" spans="3:19" ht="15" x14ac:dyDescent="0.2">
      <c r="C17" s="116" t="s">
        <v>142</v>
      </c>
      <c r="D17" s="116"/>
      <c r="E17" s="116"/>
      <c r="F17" s="95">
        <f>O6/O7</f>
        <v>3.1380847222466106</v>
      </c>
      <c r="G17" s="95">
        <f t="shared" ref="G17" si="3">P6/P7</f>
        <v>3.2175061491969896</v>
      </c>
      <c r="H17" s="95">
        <f t="shared" ref="H17" si="4">Q6/Q7</f>
        <v>3.115627576143154</v>
      </c>
      <c r="I17" s="95">
        <f t="shared" ref="I17" si="5">R6/R7</f>
        <v>3.4071152964290383</v>
      </c>
      <c r="J17" s="95">
        <f t="shared" ref="J17" si="6">S6/S7</f>
        <v>3.3148817134815252</v>
      </c>
      <c r="L17" s="111" t="s">
        <v>174</v>
      </c>
      <c r="M17" s="112"/>
      <c r="N17" s="112"/>
      <c r="O17" s="34">
        <f>O8-O15</f>
        <v>688159652</v>
      </c>
      <c r="P17" s="34">
        <f t="shared" ref="P17:S17" si="7">P8-P15</f>
        <v>553197424</v>
      </c>
      <c r="Q17" s="34">
        <f t="shared" si="7"/>
        <v>549937211</v>
      </c>
      <c r="R17" s="34">
        <f t="shared" si="7"/>
        <v>568085136</v>
      </c>
      <c r="S17" s="34">
        <f t="shared" si="7"/>
        <v>448502800</v>
      </c>
    </row>
    <row r="18" spans="3:19" ht="15" x14ac:dyDescent="0.2">
      <c r="C18" s="116" t="s">
        <v>143</v>
      </c>
      <c r="D18" s="116"/>
      <c r="E18" s="116"/>
      <c r="F18" s="86">
        <f>O41/O39</f>
        <v>1.6841965995357828</v>
      </c>
      <c r="G18" s="86">
        <f>P41/P39</f>
        <v>1.5458833998596637</v>
      </c>
      <c r="H18" s="86">
        <f>Q41/Q39</f>
        <v>1.7321141805799176</v>
      </c>
      <c r="I18" s="86">
        <f>R41/R39</f>
        <v>1.8032258495330191</v>
      </c>
      <c r="J18" s="86">
        <f>S41/S39</f>
        <v>1.766947651507988</v>
      </c>
      <c r="L18" s="111" t="s">
        <v>195</v>
      </c>
      <c r="M18" s="112"/>
      <c r="N18" s="112"/>
      <c r="O18" s="34">
        <v>2687996</v>
      </c>
      <c r="P18" s="34">
        <v>9837173</v>
      </c>
      <c r="Q18" s="34">
        <v>3534252</v>
      </c>
      <c r="R18" s="34">
        <v>1772254</v>
      </c>
      <c r="S18" s="34">
        <v>3340193</v>
      </c>
    </row>
    <row r="19" spans="3:19" ht="15" x14ac:dyDescent="0.2">
      <c r="L19" s="111" t="s">
        <v>181</v>
      </c>
      <c r="M19" s="112"/>
      <c r="N19" s="112"/>
      <c r="O19" s="94">
        <f>'Profitability Ratios'!G44</f>
        <v>2.6435584562289244E-2</v>
      </c>
      <c r="P19" s="94">
        <f>'Profitability Ratios'!H44</f>
        <v>2.494579924250688E-2</v>
      </c>
      <c r="Q19" s="94">
        <f>'Profitability Ratios'!I44</f>
        <v>2.0207593606023692E-2</v>
      </c>
      <c r="R19" s="94">
        <f>'Profitability Ratios'!J44</f>
        <v>1.7227215412415158E-2</v>
      </c>
      <c r="S19" s="94">
        <f>'Profitability Ratios'!K44</f>
        <v>1.9206038454275244E-2</v>
      </c>
    </row>
    <row r="20" spans="3:19" ht="22.5" x14ac:dyDescent="0.25">
      <c r="C20" s="115" t="s">
        <v>144</v>
      </c>
      <c r="D20" s="115"/>
      <c r="E20" s="115"/>
      <c r="F20" s="115"/>
      <c r="G20" s="115"/>
      <c r="H20" s="115"/>
      <c r="I20" s="115"/>
      <c r="J20" s="115"/>
      <c r="L20" s="111" t="s">
        <v>184</v>
      </c>
      <c r="M20" s="112"/>
      <c r="N20" s="112"/>
      <c r="O20" s="34">
        <f>'Profitability Ratios'!G6</f>
        <v>89032524</v>
      </c>
      <c r="P20" s="34">
        <f>'Profitability Ratios'!H6</f>
        <v>95111966</v>
      </c>
      <c r="Q20" s="34">
        <f>'Profitability Ratios'!I6</f>
        <v>81235772</v>
      </c>
      <c r="R20" s="34">
        <f>'Profitability Ratios'!J6</f>
        <v>66072039</v>
      </c>
      <c r="S20" s="34">
        <f>'Profitability Ratios'!K6</f>
        <v>62038397</v>
      </c>
    </row>
    <row r="21" spans="3:19" ht="15" x14ac:dyDescent="0.2">
      <c r="C21" s="92"/>
      <c r="D21" s="92"/>
      <c r="E21" s="92"/>
      <c r="F21" s="93">
        <v>2021</v>
      </c>
      <c r="G21" s="93">
        <v>2020</v>
      </c>
      <c r="H21" s="93">
        <v>2019</v>
      </c>
      <c r="I21" s="93">
        <v>2018</v>
      </c>
      <c r="J21" s="93">
        <v>2017</v>
      </c>
      <c r="L21" s="111" t="s">
        <v>185</v>
      </c>
      <c r="M21" s="112"/>
      <c r="N21" s="112"/>
      <c r="O21" s="34">
        <f>'Profitability Ratios'!G7</f>
        <v>106404792</v>
      </c>
      <c r="P21" s="34">
        <f>'Profitability Ratios'!H7</f>
        <v>108965724</v>
      </c>
      <c r="Q21" s="34">
        <f>'Profitability Ratios'!I7</f>
        <v>123118829</v>
      </c>
      <c r="R21" s="34">
        <f>'Profitability Ratios'!J7</f>
        <v>76030095</v>
      </c>
      <c r="S21" s="34">
        <f>'Profitability Ratios'!K7</f>
        <v>63715916</v>
      </c>
    </row>
    <row r="22" spans="3:19" ht="15" x14ac:dyDescent="0.2">
      <c r="C22" s="116" t="s">
        <v>145</v>
      </c>
      <c r="D22" s="116"/>
      <c r="E22" s="116"/>
      <c r="F22" s="97">
        <f>O24/O22</f>
        <v>2.0546088902862398</v>
      </c>
      <c r="G22" s="97">
        <f t="shared" ref="G22:J22" si="8">P24/P22</f>
        <v>1.8685009417972842</v>
      </c>
      <c r="H22" s="97">
        <f t="shared" si="8"/>
        <v>1.9823371832695171</v>
      </c>
      <c r="I22" s="97">
        <f t="shared" si="8"/>
        <v>2.2195966655668493</v>
      </c>
      <c r="J22" s="97">
        <f t="shared" si="8"/>
        <v>2.2350042721317447</v>
      </c>
      <c r="L22" s="111" t="s">
        <v>198</v>
      </c>
      <c r="M22" s="112"/>
      <c r="N22" s="112"/>
      <c r="O22" s="34">
        <v>1032859095</v>
      </c>
      <c r="P22" s="34">
        <v>1012189158</v>
      </c>
      <c r="Q22" s="34">
        <v>813289931</v>
      </c>
      <c r="R22" s="34">
        <v>714188317</v>
      </c>
      <c r="S22" s="34">
        <v>621695481</v>
      </c>
    </row>
    <row r="23" spans="3:19" ht="15" x14ac:dyDescent="0.2">
      <c r="C23" s="116" t="s">
        <v>146</v>
      </c>
      <c r="D23" s="116"/>
      <c r="E23" s="116"/>
      <c r="F23" s="85"/>
      <c r="G23" s="85"/>
      <c r="H23" s="85"/>
      <c r="I23" s="85"/>
      <c r="J23" s="85"/>
      <c r="L23" s="111" t="s">
        <v>199</v>
      </c>
      <c r="M23" s="112"/>
      <c r="N23" s="112"/>
      <c r="O23" s="34"/>
      <c r="P23" s="34"/>
      <c r="Q23" s="34"/>
      <c r="R23" s="34"/>
      <c r="S23" s="34"/>
    </row>
    <row r="24" spans="3:19" ht="18.75" customHeight="1" x14ac:dyDescent="0.2">
      <c r="C24" s="116" t="s">
        <v>147</v>
      </c>
      <c r="D24" s="116"/>
      <c r="E24" s="116"/>
      <c r="F24" s="85"/>
      <c r="G24" s="85"/>
      <c r="H24" s="85"/>
      <c r="I24" s="85"/>
      <c r="J24" s="85"/>
      <c r="L24" s="111" t="s">
        <v>200</v>
      </c>
      <c r="M24" s="112"/>
      <c r="N24" s="112"/>
      <c r="O24" s="34">
        <f>'Balance Sheet Consolidated'!D15</f>
        <v>2122121479</v>
      </c>
      <c r="P24" s="34">
        <f>'Balance Sheet Consolidated'!E15</f>
        <v>1891276395</v>
      </c>
      <c r="Q24" s="34">
        <f>'Balance Sheet Consolidated'!F15</f>
        <v>1612214871</v>
      </c>
      <c r="R24" s="34">
        <f>'Balance Sheet Consolidated'!G15</f>
        <v>1585210007</v>
      </c>
      <c r="S24" s="34">
        <f>'Balance Sheet Consolidated'!H15</f>
        <v>1389492056</v>
      </c>
    </row>
    <row r="25" spans="3:19" ht="15" x14ac:dyDescent="0.2">
      <c r="C25" s="116" t="s">
        <v>148</v>
      </c>
      <c r="D25" s="116"/>
      <c r="E25" s="116"/>
      <c r="F25" s="85"/>
      <c r="G25" s="85"/>
      <c r="H25" s="85"/>
      <c r="I25" s="85"/>
      <c r="J25" s="85"/>
      <c r="L25" s="111" t="s">
        <v>201</v>
      </c>
      <c r="M25" s="112"/>
      <c r="N25" s="112"/>
      <c r="O25" s="34">
        <f>'Balance Sheet Consolidated'!D37</f>
        <v>177568660</v>
      </c>
      <c r="P25" s="34">
        <f>'Balance Sheet Consolidated'!E37</f>
        <v>192991383</v>
      </c>
      <c r="Q25" s="34">
        <f>'Balance Sheet Consolidated'!F37</f>
        <v>171346817</v>
      </c>
      <c r="R25" s="34">
        <f>'Balance Sheet Consolidated'!G37</f>
        <v>151322879</v>
      </c>
      <c r="S25" s="34">
        <f>'Balance Sheet Consolidated'!H37</f>
        <v>156543081</v>
      </c>
    </row>
    <row r="27" spans="3:19" ht="22.5" x14ac:dyDescent="0.25">
      <c r="C27" s="115" t="s">
        <v>179</v>
      </c>
      <c r="D27" s="115"/>
      <c r="E27" s="115"/>
      <c r="F27" s="115"/>
      <c r="G27" s="115"/>
      <c r="H27" s="115"/>
      <c r="I27" s="115"/>
      <c r="J27" s="115"/>
      <c r="N27" s="23" t="s">
        <v>164</v>
      </c>
      <c r="O27" s="88">
        <v>2021</v>
      </c>
      <c r="P27" s="88">
        <v>2020</v>
      </c>
      <c r="Q27" s="88">
        <v>2019</v>
      </c>
      <c r="R27" s="88">
        <v>2018</v>
      </c>
      <c r="S27" s="88">
        <v>2017</v>
      </c>
    </row>
    <row r="28" spans="3:19" ht="15" x14ac:dyDescent="0.15">
      <c r="C28" s="92"/>
      <c r="D28" s="92"/>
      <c r="E28" s="92"/>
      <c r="F28" s="93">
        <v>2021</v>
      </c>
      <c r="G28" s="93">
        <v>2020</v>
      </c>
      <c r="H28" s="93">
        <v>2019</v>
      </c>
      <c r="I28" s="93">
        <v>2018</v>
      </c>
      <c r="J28" s="93">
        <v>2017</v>
      </c>
      <c r="N28" s="89" t="s">
        <v>176</v>
      </c>
      <c r="O28" s="87">
        <v>108724289</v>
      </c>
      <c r="P28" s="87">
        <v>75375228</v>
      </c>
      <c r="Q28" s="87">
        <v>52274333</v>
      </c>
      <c r="R28" s="87">
        <v>42266198</v>
      </c>
      <c r="S28" s="87">
        <v>37831766</v>
      </c>
    </row>
    <row r="29" spans="3:19" ht="15" x14ac:dyDescent="0.15">
      <c r="C29" s="116" t="s">
        <v>149</v>
      </c>
      <c r="D29" s="116"/>
      <c r="E29" s="116"/>
      <c r="F29" s="86">
        <f>O30/O4</f>
        <v>5.1452549762350336E-2</v>
      </c>
      <c r="G29" s="86">
        <f>P30/P4</f>
        <v>4.0763776888359041E-2</v>
      </c>
      <c r="H29" s="86">
        <f>Q30/Q4</f>
        <v>3.2904576154353063E-2</v>
      </c>
      <c r="I29" s="86">
        <f>R30/R4</f>
        <v>2.7014172766321679E-2</v>
      </c>
      <c r="J29" s="86">
        <f>S30/S4</f>
        <v>2.854537154691009E-2</v>
      </c>
      <c r="N29" s="89" t="s">
        <v>177</v>
      </c>
      <c r="O29" s="87">
        <v>464272</v>
      </c>
      <c r="P29" s="87">
        <v>1720341</v>
      </c>
      <c r="Q29" s="87">
        <v>774914</v>
      </c>
      <c r="R29" s="87">
        <v>556939</v>
      </c>
      <c r="S29" s="87">
        <v>1831801</v>
      </c>
    </row>
    <row r="30" spans="3:19" ht="15" x14ac:dyDescent="0.15">
      <c r="C30" s="116" t="s">
        <v>150</v>
      </c>
      <c r="D30" s="116"/>
      <c r="E30" s="116"/>
      <c r="F30" s="86">
        <f>O17/O4</f>
        <v>0.32427910409929928</v>
      </c>
      <c r="G30" s="86">
        <f>P17/P4</f>
        <v>0.29249951274308589</v>
      </c>
      <c r="H30" s="86">
        <f>Q17/Q4</f>
        <v>0.34110664830854298</v>
      </c>
      <c r="I30" s="86">
        <f>R17/R4</f>
        <v>0.35836585278381983</v>
      </c>
      <c r="J30" s="86">
        <f>S17/S4</f>
        <v>0.32278183820001632</v>
      </c>
      <c r="N30" s="89" t="s">
        <v>175</v>
      </c>
      <c r="O30" s="91">
        <f>SUM(O28:O29)</f>
        <v>109188561</v>
      </c>
      <c r="P30" s="91">
        <f t="shared" ref="P30:S30" si="9">SUM(P28:P29)</f>
        <v>77095569</v>
      </c>
      <c r="Q30" s="91">
        <f t="shared" si="9"/>
        <v>53049247</v>
      </c>
      <c r="R30" s="91">
        <f t="shared" si="9"/>
        <v>42823137</v>
      </c>
      <c r="S30" s="91">
        <f t="shared" si="9"/>
        <v>39663567</v>
      </c>
    </row>
    <row r="31" spans="3:19" x14ac:dyDescent="0.15">
      <c r="C31" s="116" t="s">
        <v>151</v>
      </c>
      <c r="D31" s="116"/>
      <c r="E31" s="116"/>
      <c r="F31" s="86">
        <f>O51/O4</f>
        <v>2.5511718125350542E-2</v>
      </c>
      <c r="G31" s="86">
        <f>P51/P4</f>
        <v>3.2326932309647949E-2</v>
      </c>
      <c r="H31" s="86">
        <f>Q51/Q4</f>
        <v>2.7916541280929543E-2</v>
      </c>
      <c r="I31" s="86">
        <f>R51/R4</f>
        <v>2.198759019062892E-2</v>
      </c>
      <c r="J31" s="86">
        <f>S51/S4</f>
        <v>2.1525175959696167E-2</v>
      </c>
    </row>
    <row r="32" spans="3:19" x14ac:dyDescent="0.15">
      <c r="C32" s="116" t="s">
        <v>152</v>
      </c>
      <c r="D32" s="116"/>
      <c r="E32" s="116"/>
      <c r="F32" s="86">
        <f>O56/O4</f>
        <v>8.289933952456828E-2</v>
      </c>
      <c r="G32" s="86">
        <f>P56/P4</f>
        <v>6.9822180062687242E-2</v>
      </c>
      <c r="H32" s="86">
        <f>Q56/Q4</f>
        <v>8.8671405140512444E-2</v>
      </c>
      <c r="I32" s="86">
        <f>R56/R4</f>
        <v>6.9495527730415091E-2</v>
      </c>
      <c r="J32" s="86">
        <f>S56/S4</f>
        <v>7.8779077237128153E-2</v>
      </c>
      <c r="N32" s="23" t="s">
        <v>162</v>
      </c>
      <c r="O32" s="88">
        <v>2021</v>
      </c>
      <c r="P32" s="88">
        <v>2020</v>
      </c>
      <c r="Q32" s="88">
        <v>2019</v>
      </c>
      <c r="R32" s="88">
        <v>2018</v>
      </c>
      <c r="S32" s="88">
        <v>2017</v>
      </c>
    </row>
    <row r="33" spans="3:19" x14ac:dyDescent="0.15">
      <c r="N33" s="89" t="s">
        <v>170</v>
      </c>
      <c r="O33" s="41">
        <v>681248266</v>
      </c>
      <c r="P33" s="41">
        <v>546420257</v>
      </c>
      <c r="Q33" s="41">
        <v>542065946</v>
      </c>
      <c r="R33" s="41">
        <v>561062331</v>
      </c>
      <c r="S33" s="41">
        <v>445424427</v>
      </c>
    </row>
    <row r="34" spans="3:19" ht="22.5" x14ac:dyDescent="0.25">
      <c r="C34" s="115" t="s">
        <v>180</v>
      </c>
      <c r="D34" s="115"/>
      <c r="E34" s="115"/>
      <c r="F34" s="115"/>
      <c r="G34" s="115"/>
      <c r="H34" s="115"/>
      <c r="I34" s="115"/>
      <c r="J34" s="115"/>
      <c r="N34" s="89" t="s">
        <v>169</v>
      </c>
      <c r="O34" s="41">
        <v>51192575</v>
      </c>
      <c r="P34" s="41">
        <v>51945518</v>
      </c>
      <c r="Q34" s="41">
        <v>49805686</v>
      </c>
      <c r="R34" s="41">
        <v>48966314</v>
      </c>
      <c r="S34" s="41">
        <v>47665373</v>
      </c>
    </row>
    <row r="35" spans="3:19" ht="13.5" x14ac:dyDescent="0.15">
      <c r="C35" s="92"/>
      <c r="D35" s="92"/>
      <c r="E35" s="92"/>
      <c r="F35" s="93">
        <v>2021</v>
      </c>
      <c r="G35" s="93">
        <v>2020</v>
      </c>
      <c r="H35" s="93">
        <v>2019</v>
      </c>
      <c r="I35" s="93">
        <v>2018</v>
      </c>
      <c r="J35" s="93">
        <v>2017</v>
      </c>
      <c r="N35" s="89" t="s">
        <v>162</v>
      </c>
      <c r="O35" s="51">
        <f>O33+O34</f>
        <v>732440841</v>
      </c>
      <c r="P35" s="51">
        <f t="shared" ref="P35:S35" si="10">P33+P34</f>
        <v>598365775</v>
      </c>
      <c r="Q35" s="51">
        <f t="shared" si="10"/>
        <v>591871632</v>
      </c>
      <c r="R35" s="51">
        <f t="shared" si="10"/>
        <v>610028645</v>
      </c>
      <c r="S35" s="51">
        <f t="shared" si="10"/>
        <v>493089800</v>
      </c>
    </row>
    <row r="36" spans="3:19" ht="19.5" customHeight="1" x14ac:dyDescent="0.15">
      <c r="C36" s="116" t="s">
        <v>153</v>
      </c>
      <c r="D36" s="116"/>
      <c r="E36" s="116"/>
      <c r="F36" s="86">
        <f>O34/O35</f>
        <v>6.9893119190495817E-2</v>
      </c>
      <c r="G36" s="86">
        <f>P34/P35</f>
        <v>8.6812314758476949E-2</v>
      </c>
      <c r="H36" s="86">
        <f>Q34/Q35</f>
        <v>8.4149473141162473E-2</v>
      </c>
      <c r="I36" s="86">
        <f>R34/R35</f>
        <v>8.0268876554149354E-2</v>
      </c>
      <c r="J36" s="86">
        <f>S34/S35</f>
        <v>9.6666718719389449E-2</v>
      </c>
    </row>
    <row r="37" spans="3:19" ht="15.75" customHeight="1" x14ac:dyDescent="0.15">
      <c r="C37" s="116" t="s">
        <v>154</v>
      </c>
      <c r="D37" s="116"/>
      <c r="E37" s="116"/>
      <c r="F37" s="86">
        <f>O18/O35</f>
        <v>3.6699155065275779E-3</v>
      </c>
      <c r="G37" s="86">
        <f>P18/P35</f>
        <v>1.644006627885761E-2</v>
      </c>
      <c r="H37" s="86">
        <f>Q18/Q35</f>
        <v>5.9713150773206851E-3</v>
      </c>
      <c r="I37" s="86">
        <f>R18/R35</f>
        <v>2.9051980009889536E-3</v>
      </c>
      <c r="J37" s="86">
        <f>S18/S35</f>
        <v>6.7740054651302863E-3</v>
      </c>
      <c r="N37" s="23" t="s">
        <v>172</v>
      </c>
      <c r="O37" s="88">
        <v>2021</v>
      </c>
      <c r="P37" s="88">
        <v>2020</v>
      </c>
      <c r="Q37" s="88">
        <v>2019</v>
      </c>
      <c r="R37" s="88">
        <v>2018</v>
      </c>
      <c r="S37" s="88">
        <v>2017</v>
      </c>
    </row>
    <row r="38" spans="3:19" ht="16.5" customHeight="1" x14ac:dyDescent="0.15">
      <c r="C38" s="116" t="s">
        <v>155</v>
      </c>
      <c r="D38" s="116"/>
      <c r="E38" s="116"/>
      <c r="F38" s="86">
        <f>O15/O35</f>
        <v>6.0457017852176269E-2</v>
      </c>
      <c r="G38" s="86">
        <f>P15/P35</f>
        <v>7.5486187357557341E-2</v>
      </c>
      <c r="H38" s="86">
        <f>Q15/Q35</f>
        <v>7.0850533684641948E-2</v>
      </c>
      <c r="I38" s="86">
        <f>R15/R35</f>
        <v>6.8756622076328891E-2</v>
      </c>
      <c r="J38" s="86">
        <f>S15/S35</f>
        <v>9.0423691587211905E-2</v>
      </c>
      <c r="N38" s="89" t="s">
        <v>171</v>
      </c>
      <c r="O38" s="87">
        <f>'Balance Sheet Consolidated'!D8</f>
        <v>40617110</v>
      </c>
      <c r="P38" s="87">
        <f>'Balance Sheet Consolidated'!E8</f>
        <v>17968243</v>
      </c>
      <c r="Q38" s="87">
        <f>'Balance Sheet Consolidated'!F8</f>
        <v>6060869</v>
      </c>
      <c r="R38" s="87">
        <f>'Balance Sheet Consolidated'!G8</f>
        <v>39149890</v>
      </c>
      <c r="S38" s="87">
        <f>'Balance Sheet Consolidated'!H8</f>
        <v>5273524</v>
      </c>
    </row>
    <row r="39" spans="3:19" ht="18.75" customHeight="1" x14ac:dyDescent="0.15">
      <c r="C39" s="116" t="s">
        <v>156</v>
      </c>
      <c r="D39" s="116"/>
      <c r="E39" s="116"/>
      <c r="F39" s="86">
        <f>O15/O3</f>
        <v>0.24937502484954271</v>
      </c>
      <c r="G39" s="86">
        <f>P15/P3</f>
        <v>0.23404335622590983</v>
      </c>
      <c r="H39" s="86">
        <f>Q15/Q3</f>
        <v>0.24473416976283838</v>
      </c>
      <c r="I39" s="86">
        <f>R15/R3</f>
        <v>0.27717889903482473</v>
      </c>
      <c r="J39" s="86">
        <f>S15/S3</f>
        <v>0.28482255309642207</v>
      </c>
      <c r="N39" s="89" t="s">
        <v>3</v>
      </c>
      <c r="O39" s="87">
        <f>'Balance Sheet Consolidated'!D9</f>
        <v>1062568511</v>
      </c>
      <c r="P39" s="87">
        <f>'Balance Sheet Consolidated'!E9</f>
        <v>1036217535</v>
      </c>
      <c r="Q39" s="87">
        <f>'Balance Sheet Consolidated'!F9</f>
        <v>757441590</v>
      </c>
      <c r="R39" s="87">
        <f>'Balance Sheet Consolidated'!G9</f>
        <v>754385775</v>
      </c>
      <c r="S39" s="87">
        <f>'Balance Sheet Consolidated'!H9</f>
        <v>660070246</v>
      </c>
    </row>
    <row r="40" spans="3:19" ht="17.25" customHeight="1" x14ac:dyDescent="0.15">
      <c r="C40" s="116" t="s">
        <v>157</v>
      </c>
      <c r="D40" s="116"/>
      <c r="E40" s="116"/>
      <c r="F40" s="86">
        <f>O62/O35</f>
        <v>6.6683735075881712E-2</v>
      </c>
      <c r="G40" s="86">
        <f>P62/P35</f>
        <v>6.2854627673182006E-2</v>
      </c>
      <c r="H40" s="86">
        <f>Q62/Q35</f>
        <v>7.1095226946102388E-2</v>
      </c>
      <c r="I40" s="86">
        <f>R62/R35</f>
        <v>7.3428722351226633E-2</v>
      </c>
      <c r="J40" s="86">
        <f>S62/S35</f>
        <v>9.6293823153510774E-2</v>
      </c>
      <c r="N40" s="89" t="s">
        <v>4</v>
      </c>
      <c r="O40" s="87">
        <f>'Balance Sheet Consolidated'!D10</f>
        <v>686388652</v>
      </c>
      <c r="P40" s="87">
        <f>'Balance Sheet Consolidated'!E10</f>
        <v>547685708</v>
      </c>
      <c r="Q40" s="87">
        <f>'Balance Sheet Consolidated'!F10</f>
        <v>548472860</v>
      </c>
      <c r="R40" s="87">
        <f>'Balance Sheet Consolidated'!G10</f>
        <v>566792265</v>
      </c>
      <c r="S40" s="87">
        <f>'Balance Sheet Consolidated'!H10</f>
        <v>500965801</v>
      </c>
    </row>
    <row r="41" spans="3:19" ht="16.5" customHeight="1" x14ac:dyDescent="0.15">
      <c r="C41" s="116" t="s">
        <v>158</v>
      </c>
      <c r="D41" s="116"/>
      <c r="E41" s="116"/>
      <c r="F41" s="86">
        <f>O62/O3</f>
        <v>0.27505918555673059</v>
      </c>
      <c r="G41" s="86">
        <f>P62/P3</f>
        <v>0.19487946775323123</v>
      </c>
      <c r="H41" s="86">
        <f>Q62/Q3</f>
        <v>0.2455793970190879</v>
      </c>
      <c r="I41" s="86">
        <f>R62/R3</f>
        <v>0.29601355919219591</v>
      </c>
      <c r="J41" s="86">
        <f>S62/S3</f>
        <v>0.30331268361838359</v>
      </c>
      <c r="N41" s="90" t="s">
        <v>172</v>
      </c>
      <c r="O41" s="98">
        <f>SUM(O38:O40)</f>
        <v>1789574273</v>
      </c>
      <c r="P41" s="98">
        <f t="shared" ref="P41:S41" si="11">SUM(P38:P40)</f>
        <v>1601871486</v>
      </c>
      <c r="Q41" s="98">
        <f t="shared" si="11"/>
        <v>1311975319</v>
      </c>
      <c r="R41" s="98">
        <f t="shared" si="11"/>
        <v>1360327930</v>
      </c>
      <c r="S41" s="98">
        <f t="shared" si="11"/>
        <v>1166309571</v>
      </c>
    </row>
    <row r="42" spans="3:19" x14ac:dyDescent="0.15">
      <c r="C42" s="116" t="s">
        <v>159</v>
      </c>
      <c r="D42" s="116"/>
      <c r="E42" s="116"/>
      <c r="F42" s="86">
        <f>O14/O3</f>
        <v>0.28829735494991066</v>
      </c>
      <c r="G42" s="86">
        <f>P14/P3</f>
        <v>0.26915977901458948</v>
      </c>
      <c r="H42" s="86">
        <f>Q14/Q3</f>
        <v>0.28844573751259123</v>
      </c>
      <c r="I42" s="86">
        <f>R14/R3</f>
        <v>0.32351715962263711</v>
      </c>
      <c r="J42" s="86">
        <f>S14/S3</f>
        <v>0.31143503557337038</v>
      </c>
    </row>
    <row r="43" spans="3:19" x14ac:dyDescent="0.15">
      <c r="N43" s="23" t="s">
        <v>182</v>
      </c>
      <c r="O43" s="88">
        <v>2021</v>
      </c>
      <c r="P43" s="88">
        <v>2020</v>
      </c>
      <c r="Q43" s="88">
        <v>2019</v>
      </c>
      <c r="R43" s="88">
        <v>2018</v>
      </c>
      <c r="S43" s="88">
        <v>2017</v>
      </c>
    </row>
    <row r="44" spans="3:19" ht="22.5" x14ac:dyDescent="0.25">
      <c r="C44" s="115" t="s">
        <v>196</v>
      </c>
      <c r="D44" s="115"/>
      <c r="E44" s="115"/>
      <c r="F44" s="115"/>
      <c r="G44" s="115"/>
      <c r="H44" s="115"/>
      <c r="I44" s="115"/>
      <c r="J44" s="115"/>
      <c r="N44" s="89" t="s">
        <v>161</v>
      </c>
      <c r="O44" s="41">
        <v>1543586671</v>
      </c>
      <c r="P44" s="41">
        <v>1388737961</v>
      </c>
      <c r="Q44" s="41">
        <v>1144763259</v>
      </c>
      <c r="R44" s="41">
        <v>1049037615</v>
      </c>
      <c r="S44" s="41">
        <v>1001146162</v>
      </c>
    </row>
    <row r="45" spans="3:19" ht="13.5" x14ac:dyDescent="0.15">
      <c r="C45" s="92"/>
      <c r="D45" s="92"/>
      <c r="E45" s="92"/>
      <c r="F45" s="93">
        <v>2021</v>
      </c>
      <c r="G45" s="93">
        <v>2020</v>
      </c>
      <c r="H45" s="93">
        <v>2019</v>
      </c>
      <c r="I45" s="93">
        <v>2018</v>
      </c>
      <c r="J45" s="93">
        <v>2017</v>
      </c>
      <c r="N45" s="89" t="s">
        <v>183</v>
      </c>
      <c r="O45" s="41">
        <v>1054566518</v>
      </c>
      <c r="P45" s="41">
        <v>957118596</v>
      </c>
      <c r="Q45" s="41">
        <v>751072744</v>
      </c>
      <c r="R45" s="41">
        <v>719636806</v>
      </c>
      <c r="S45" s="41">
        <v>699130510</v>
      </c>
    </row>
    <row r="46" spans="3:19" x14ac:dyDescent="0.15">
      <c r="C46" s="116" t="s">
        <v>197</v>
      </c>
      <c r="D46" s="116"/>
      <c r="E46" s="116"/>
      <c r="F46" s="86">
        <v>0.15989999999999999</v>
      </c>
      <c r="G46" s="86">
        <v>0.19689999999999999</v>
      </c>
      <c r="H46" s="86">
        <v>0.18859999999999999</v>
      </c>
      <c r="I46" s="86">
        <v>0.18129999999999999</v>
      </c>
      <c r="J46" s="86">
        <v>0.16339999999999999</v>
      </c>
      <c r="N46" s="89" t="s">
        <v>173</v>
      </c>
      <c r="O46" s="51">
        <f>O44-O45</f>
        <v>489020153</v>
      </c>
      <c r="P46" s="51">
        <f t="shared" ref="P46:S46" si="12">P44-P45</f>
        <v>431619365</v>
      </c>
      <c r="Q46" s="51">
        <f t="shared" si="12"/>
        <v>393690515</v>
      </c>
      <c r="R46" s="51">
        <f t="shared" si="12"/>
        <v>329400809</v>
      </c>
      <c r="S46" s="51">
        <f t="shared" si="12"/>
        <v>302015652</v>
      </c>
    </row>
    <row r="48" spans="3:19" x14ac:dyDescent="0.15">
      <c r="N48" s="23" t="s">
        <v>188</v>
      </c>
      <c r="O48" s="88">
        <v>2021</v>
      </c>
      <c r="P48" s="88">
        <v>2020</v>
      </c>
      <c r="Q48" s="88">
        <v>2019</v>
      </c>
      <c r="R48" s="88">
        <v>2018</v>
      </c>
      <c r="S48" s="88">
        <v>2017</v>
      </c>
    </row>
    <row r="49" spans="14:19" ht="15" x14ac:dyDescent="0.15">
      <c r="N49" s="89" t="s">
        <v>187</v>
      </c>
      <c r="O49" s="87">
        <f>'Balance Sheet Consolidated'!L15</f>
        <v>31584636</v>
      </c>
      <c r="P49" s="87">
        <f>'Balance Sheet Consolidated'!M15</f>
        <v>32127643</v>
      </c>
      <c r="Q49" s="87">
        <f>'Balance Sheet Consolidated'!N15</f>
        <v>23635710</v>
      </c>
      <c r="R49" s="87">
        <f>'Balance Sheet Consolidated'!O15</f>
        <v>21516831</v>
      </c>
      <c r="S49" s="87">
        <f>'Balance Sheet Consolidated'!P15</f>
        <v>22560179</v>
      </c>
    </row>
    <row r="50" spans="14:19" ht="15" x14ac:dyDescent="0.15">
      <c r="N50" s="89" t="s">
        <v>1</v>
      </c>
      <c r="O50" s="87">
        <f>'Balance Sheet Consolidated'!L7</f>
        <v>22554329</v>
      </c>
      <c r="P50" s="87">
        <f>'Balance Sheet Consolidated'!M7</f>
        <v>29011521</v>
      </c>
      <c r="Q50" s="87">
        <f>'Balance Sheet Consolidated'!N7</f>
        <v>21371753</v>
      </c>
      <c r="R50" s="87">
        <f>'Balance Sheet Consolidated'!O7</f>
        <v>13338117</v>
      </c>
      <c r="S50" s="87">
        <f>'Balance Sheet Consolidated'!P7</f>
        <v>7348882</v>
      </c>
    </row>
    <row r="51" spans="14:19" ht="15" x14ac:dyDescent="0.15">
      <c r="N51" s="90" t="s">
        <v>188</v>
      </c>
      <c r="O51" s="91">
        <f>SUM(O49:O50)</f>
        <v>54138965</v>
      </c>
      <c r="P51" s="91">
        <f t="shared" ref="P51" si="13">SUM(P49:P50)</f>
        <v>61139164</v>
      </c>
      <c r="Q51" s="91">
        <f t="shared" ref="Q51" si="14">SUM(Q49:Q50)</f>
        <v>45007463</v>
      </c>
      <c r="R51" s="91">
        <f t="shared" ref="R51" si="15">SUM(R49:R50)</f>
        <v>34854948</v>
      </c>
      <c r="S51" s="91">
        <f t="shared" ref="S51" si="16">SUM(S49:S50)</f>
        <v>29909061</v>
      </c>
    </row>
    <row r="53" spans="14:19" x14ac:dyDescent="0.15">
      <c r="N53" s="23" t="s">
        <v>189</v>
      </c>
      <c r="O53" s="88">
        <v>2021</v>
      </c>
      <c r="P53" s="88">
        <v>2020</v>
      </c>
      <c r="Q53" s="88">
        <v>2019</v>
      </c>
      <c r="R53" s="88">
        <v>2018</v>
      </c>
      <c r="S53" s="88">
        <v>2017</v>
      </c>
    </row>
    <row r="54" spans="14:19" ht="15" x14ac:dyDescent="0.15">
      <c r="N54" s="89" t="s">
        <v>187</v>
      </c>
      <c r="O54" s="87">
        <f>O49</f>
        <v>31584636</v>
      </c>
      <c r="P54" s="87">
        <f>P49</f>
        <v>32127643</v>
      </c>
      <c r="Q54" s="87">
        <f>Q49</f>
        <v>23635710</v>
      </c>
      <c r="R54" s="87">
        <f>R49</f>
        <v>21516831</v>
      </c>
      <c r="S54" s="87">
        <f>S49</f>
        <v>22560179</v>
      </c>
    </row>
    <row r="55" spans="14:19" ht="15" x14ac:dyDescent="0.15">
      <c r="N55" s="89" t="s">
        <v>190</v>
      </c>
      <c r="O55" s="87">
        <f>O56-O54</f>
        <v>144337833</v>
      </c>
      <c r="P55" s="87">
        <f t="shared" ref="P55:S55" si="17">P56-P54</f>
        <v>99925398</v>
      </c>
      <c r="Q55" s="87">
        <f t="shared" si="17"/>
        <v>119321648</v>
      </c>
      <c r="R55" s="87">
        <f t="shared" si="17"/>
        <v>88648175</v>
      </c>
      <c r="S55" s="87">
        <f t="shared" si="17"/>
        <v>86902723</v>
      </c>
    </row>
    <row r="56" spans="14:19" ht="15" x14ac:dyDescent="0.15">
      <c r="N56" s="90" t="s">
        <v>189</v>
      </c>
      <c r="O56" s="91">
        <f>'Balance Sheet Consolidated'!L14</f>
        <v>175922469</v>
      </c>
      <c r="P56" s="91">
        <f>'Balance Sheet Consolidated'!M14</f>
        <v>132053041</v>
      </c>
      <c r="Q56" s="91">
        <f>'Balance Sheet Consolidated'!N14</f>
        <v>142957358</v>
      </c>
      <c r="R56" s="91">
        <f>'Balance Sheet Consolidated'!O14</f>
        <v>110165006</v>
      </c>
      <c r="S56" s="91">
        <f>'Balance Sheet Consolidated'!P14</f>
        <v>109462902</v>
      </c>
    </row>
    <row r="58" spans="14:19" x14ac:dyDescent="0.15">
      <c r="N58" s="23" t="s">
        <v>191</v>
      </c>
      <c r="O58" s="88">
        <v>2021</v>
      </c>
      <c r="P58" s="88">
        <v>2020</v>
      </c>
      <c r="Q58" s="88">
        <v>2019</v>
      </c>
      <c r="R58" s="88">
        <v>2018</v>
      </c>
      <c r="S58" s="88">
        <v>2017</v>
      </c>
    </row>
    <row r="59" spans="14:19" ht="15" x14ac:dyDescent="0.15">
      <c r="N59" s="89" t="s">
        <v>192</v>
      </c>
      <c r="O59" s="87">
        <f>O15</f>
        <v>44281189</v>
      </c>
      <c r="P59" s="87">
        <f>P15</f>
        <v>45168351</v>
      </c>
      <c r="Q59" s="87">
        <f>Q15</f>
        <v>41934421</v>
      </c>
      <c r="R59" s="87">
        <f>R15</f>
        <v>41943509</v>
      </c>
      <c r="S59" s="87">
        <f>S15</f>
        <v>44587000</v>
      </c>
    </row>
    <row r="60" spans="14:19" ht="15" x14ac:dyDescent="0.15">
      <c r="N60" s="89" t="s">
        <v>193</v>
      </c>
      <c r="O60" s="87">
        <f>O18</f>
        <v>2687996</v>
      </c>
      <c r="P60" s="87">
        <f>P18</f>
        <v>9837173</v>
      </c>
      <c r="Q60" s="87">
        <f>Q18</f>
        <v>3534252</v>
      </c>
      <c r="R60" s="87">
        <f>R18</f>
        <v>1772254</v>
      </c>
      <c r="S60" s="87">
        <f>S18</f>
        <v>3340193</v>
      </c>
    </row>
    <row r="61" spans="14:19" ht="15" x14ac:dyDescent="0.15">
      <c r="N61" s="90" t="s">
        <v>194</v>
      </c>
      <c r="O61" s="87">
        <v>7248698</v>
      </c>
      <c r="P61" s="87">
        <v>2278880</v>
      </c>
      <c r="Q61" s="87">
        <v>3679079</v>
      </c>
      <c r="R61" s="87">
        <v>4622369</v>
      </c>
      <c r="S61" s="87">
        <v>6234695</v>
      </c>
    </row>
    <row r="62" spans="14:19" ht="15" x14ac:dyDescent="0.15">
      <c r="N62" s="99" t="s">
        <v>191</v>
      </c>
      <c r="O62" s="91">
        <f>O59+O61-O60</f>
        <v>48841891</v>
      </c>
      <c r="P62" s="91">
        <f>P59+P61-P60</f>
        <v>37610058</v>
      </c>
      <c r="Q62" s="91">
        <f>Q59+Q61-Q60</f>
        <v>42079248</v>
      </c>
      <c r="R62" s="91">
        <f>R59+R61-R60</f>
        <v>44793624</v>
      </c>
      <c r="S62" s="91">
        <f>S59+S61-S60</f>
        <v>47481502</v>
      </c>
    </row>
  </sheetData>
  <mergeCells count="55">
    <mergeCell ref="C44:J44"/>
    <mergeCell ref="C46:E46"/>
    <mergeCell ref="L23:N23"/>
    <mergeCell ref="L24:N24"/>
    <mergeCell ref="L25:N25"/>
    <mergeCell ref="C40:E40"/>
    <mergeCell ref="C41:E41"/>
    <mergeCell ref="C42:E42"/>
    <mergeCell ref="C37:E37"/>
    <mergeCell ref="C38:E38"/>
    <mergeCell ref="C39:E39"/>
    <mergeCell ref="L20:N20"/>
    <mergeCell ref="L21:N21"/>
    <mergeCell ref="L22:N22"/>
    <mergeCell ref="C32:E32"/>
    <mergeCell ref="C36:E36"/>
    <mergeCell ref="C34:J34"/>
    <mergeCell ref="C20:J20"/>
    <mergeCell ref="C27:J27"/>
    <mergeCell ref="C29:E29"/>
    <mergeCell ref="C30:E30"/>
    <mergeCell ref="C31:E31"/>
    <mergeCell ref="L17:N17"/>
    <mergeCell ref="L18:N18"/>
    <mergeCell ref="L19:N19"/>
    <mergeCell ref="C5:E5"/>
    <mergeCell ref="C6:E6"/>
    <mergeCell ref="C7:E7"/>
    <mergeCell ref="C8:E8"/>
    <mergeCell ref="C10:J10"/>
    <mergeCell ref="C12:E12"/>
    <mergeCell ref="C13:E13"/>
    <mergeCell ref="C17:E17"/>
    <mergeCell ref="C18:E18"/>
    <mergeCell ref="C15:J15"/>
    <mergeCell ref="L7:N7"/>
    <mergeCell ref="L8:N8"/>
    <mergeCell ref="L9:N9"/>
    <mergeCell ref="C3:J3"/>
    <mergeCell ref="C22:E22"/>
    <mergeCell ref="C23:E23"/>
    <mergeCell ref="C24:E24"/>
    <mergeCell ref="C25:E25"/>
    <mergeCell ref="L2:N2"/>
    <mergeCell ref="L3:N3"/>
    <mergeCell ref="L4:N4"/>
    <mergeCell ref="L5:N5"/>
    <mergeCell ref="L6:N6"/>
    <mergeCell ref="L16:N16"/>
    <mergeCell ref="L15:N15"/>
    <mergeCell ref="L10:N10"/>
    <mergeCell ref="L11:N11"/>
    <mergeCell ref="L12:N12"/>
    <mergeCell ref="L13:N13"/>
    <mergeCell ref="L14:N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V81"/>
  <sheetViews>
    <sheetView tabSelected="1" topLeftCell="D62" zoomScale="85" zoomScaleNormal="85" workbookViewId="0">
      <selection activeCell="B81" sqref="B81:F81"/>
    </sheetView>
  </sheetViews>
  <sheetFormatPr defaultRowHeight="12.75" x14ac:dyDescent="0.15"/>
  <cols>
    <col min="7" max="7" width="11.32421875" customWidth="1"/>
    <col min="8" max="8" width="10.515625" customWidth="1"/>
    <col min="9" max="10" width="11.4609375" customWidth="1"/>
    <col min="11" max="11" width="11.73046875" customWidth="1"/>
    <col min="13" max="13" width="36.6796875" bestFit="1" customWidth="1"/>
    <col min="14" max="14" width="14.83203125" bestFit="1" customWidth="1"/>
    <col min="15" max="15" width="12.80859375" bestFit="1" customWidth="1"/>
    <col min="16" max="16" width="13.078125" bestFit="1" customWidth="1"/>
    <col min="17" max="17" width="12.40625" bestFit="1" customWidth="1"/>
    <col min="18" max="18" width="13.078125" bestFit="1" customWidth="1"/>
  </cols>
  <sheetData>
    <row r="3" spans="13:18" x14ac:dyDescent="0.15">
      <c r="M3" s="23" t="s">
        <v>218</v>
      </c>
      <c r="N3" s="88">
        <v>2021</v>
      </c>
      <c r="O3" s="88">
        <v>2020</v>
      </c>
      <c r="P3" s="88">
        <v>2019</v>
      </c>
      <c r="Q3" s="88">
        <v>2018</v>
      </c>
      <c r="R3" s="88">
        <v>2017</v>
      </c>
    </row>
    <row r="4" spans="13:18" ht="15" x14ac:dyDescent="0.15">
      <c r="M4" s="89" t="s">
        <v>217</v>
      </c>
      <c r="N4" s="87">
        <v>1014920266</v>
      </c>
      <c r="O4" s="87">
        <v>987228543</v>
      </c>
      <c r="P4" s="87">
        <v>710382910</v>
      </c>
      <c r="Q4" s="87">
        <v>710544756</v>
      </c>
      <c r="R4" s="87">
        <v>616940868</v>
      </c>
    </row>
    <row r="5" spans="13:18" ht="15" x14ac:dyDescent="0.15">
      <c r="M5" s="89" t="s">
        <v>190</v>
      </c>
      <c r="N5" s="87">
        <f>'RIsk Measures Ratio'!O55</f>
        <v>144337833</v>
      </c>
      <c r="O5" s="87">
        <f>'RIsk Measures Ratio'!P55</f>
        <v>99925398</v>
      </c>
      <c r="P5" s="87">
        <f>'RIsk Measures Ratio'!Q55</f>
        <v>119321648</v>
      </c>
      <c r="Q5" s="87">
        <f>'RIsk Measures Ratio'!R55</f>
        <v>88648175</v>
      </c>
      <c r="R5" s="87">
        <f>'RIsk Measures Ratio'!S55</f>
        <v>86902723</v>
      </c>
    </row>
    <row r="6" spans="13:18" ht="15" x14ac:dyDescent="0.15">
      <c r="M6" s="89" t="s">
        <v>219</v>
      </c>
      <c r="N6" s="87">
        <v>23877312</v>
      </c>
      <c r="O6" s="87">
        <v>21923938</v>
      </c>
      <c r="P6" s="87">
        <v>18462438</v>
      </c>
      <c r="Q6" s="87">
        <v>20444791</v>
      </c>
      <c r="R6" s="87">
        <v>23488891</v>
      </c>
    </row>
    <row r="7" spans="13:18" ht="15" x14ac:dyDescent="0.15">
      <c r="M7" s="89" t="s">
        <v>220</v>
      </c>
      <c r="N7" s="87">
        <v>10153608</v>
      </c>
      <c r="O7" s="87">
        <v>11983596</v>
      </c>
      <c r="P7" s="87">
        <v>12333239</v>
      </c>
      <c r="Q7" s="87">
        <v>11038267</v>
      </c>
      <c r="R7" s="87">
        <v>9114514</v>
      </c>
    </row>
    <row r="8" spans="13:18" ht="15" x14ac:dyDescent="0.15">
      <c r="M8" s="89" t="s">
        <v>221</v>
      </c>
      <c r="N8" s="87">
        <v>8334043</v>
      </c>
      <c r="O8" s="87">
        <v>10606098</v>
      </c>
      <c r="P8" s="87">
        <v>11987345</v>
      </c>
      <c r="Q8" s="87">
        <v>8338435</v>
      </c>
      <c r="R8" s="87">
        <v>6069734</v>
      </c>
    </row>
    <row r="9" spans="13:18" ht="15" x14ac:dyDescent="0.15">
      <c r="M9" s="89" t="s">
        <v>223</v>
      </c>
      <c r="N9" s="87">
        <f>26076+19077222+5096819</f>
        <v>24200117</v>
      </c>
      <c r="O9" s="87">
        <f>19827+999+1232917+653148</f>
        <v>1906891</v>
      </c>
      <c r="P9" s="87">
        <f>58956+6410544+17302184</f>
        <v>23771684</v>
      </c>
      <c r="Q9" s="87">
        <f>27486+6699290+297767019</f>
        <v>304493795</v>
      </c>
      <c r="R9" s="87">
        <f>6568012+54507456</f>
        <v>61075468</v>
      </c>
    </row>
    <row r="10" spans="13:18" ht="15" x14ac:dyDescent="0.15">
      <c r="M10" s="89"/>
      <c r="N10" s="87"/>
      <c r="O10" s="87"/>
      <c r="P10" s="87"/>
      <c r="Q10" s="87"/>
      <c r="R10" s="87"/>
    </row>
    <row r="11" spans="13:18" ht="15" x14ac:dyDescent="0.15">
      <c r="M11" s="90" t="s">
        <v>218</v>
      </c>
      <c r="N11" s="87">
        <f>SUM(N4:N9)</f>
        <v>1225823179</v>
      </c>
      <c r="O11" s="87">
        <f t="shared" ref="O11:R11" si="0">SUM(O4:O9)</f>
        <v>1133574464</v>
      </c>
      <c r="P11" s="87">
        <f t="shared" si="0"/>
        <v>896259264</v>
      </c>
      <c r="Q11" s="87">
        <f t="shared" si="0"/>
        <v>1143508219</v>
      </c>
      <c r="R11" s="87">
        <f t="shared" si="0"/>
        <v>803592198</v>
      </c>
    </row>
    <row r="17" spans="2:11" ht="18" x14ac:dyDescent="0.2">
      <c r="B17" s="121" t="s">
        <v>202</v>
      </c>
      <c r="C17" s="121"/>
    </row>
    <row r="18" spans="2:11" ht="13.5" x14ac:dyDescent="0.15">
      <c r="G18" s="93">
        <v>2021</v>
      </c>
      <c r="H18" s="93">
        <v>2020</v>
      </c>
      <c r="I18" s="93">
        <v>2019</v>
      </c>
      <c r="J18" s="93">
        <v>2018</v>
      </c>
      <c r="K18" s="93">
        <v>2017</v>
      </c>
    </row>
    <row r="19" spans="2:11" x14ac:dyDescent="0.15">
      <c r="B19" s="122" t="s">
        <v>196</v>
      </c>
      <c r="C19" s="122"/>
      <c r="D19" s="122"/>
      <c r="E19" s="122"/>
      <c r="F19" s="122"/>
      <c r="G19" s="105">
        <f>'RIsk Measures Ratio'!F46</f>
        <v>0.15989999999999999</v>
      </c>
      <c r="H19" s="105">
        <f>'RIsk Measures Ratio'!G46</f>
        <v>0.19689999999999999</v>
      </c>
      <c r="I19" s="105">
        <f>'RIsk Measures Ratio'!H46</f>
        <v>0.18859999999999999</v>
      </c>
      <c r="J19" s="105">
        <f>'RIsk Measures Ratio'!I46</f>
        <v>0.18129999999999999</v>
      </c>
      <c r="K19" s="105">
        <f>'RIsk Measures Ratio'!J46</f>
        <v>0.16339999999999999</v>
      </c>
    </row>
    <row r="20" spans="2:11" x14ac:dyDescent="0.15">
      <c r="B20" s="101"/>
      <c r="C20" s="101"/>
      <c r="D20" s="101"/>
      <c r="E20" s="101"/>
      <c r="F20" s="101"/>
      <c r="G20" s="86"/>
      <c r="H20" s="86"/>
      <c r="I20" s="86"/>
      <c r="J20" s="86"/>
      <c r="K20" s="86"/>
    </row>
    <row r="21" spans="2:11" x14ac:dyDescent="0.15">
      <c r="B21" s="118" t="s">
        <v>212</v>
      </c>
      <c r="C21" s="118"/>
      <c r="D21" s="118"/>
      <c r="E21" s="118"/>
      <c r="F21" s="118"/>
      <c r="G21" s="103">
        <v>1</v>
      </c>
      <c r="H21" s="103">
        <v>1</v>
      </c>
      <c r="I21" s="103">
        <v>1</v>
      </c>
      <c r="J21" s="103">
        <v>1</v>
      </c>
      <c r="K21" s="103">
        <v>1</v>
      </c>
    </row>
    <row r="22" spans="2:11" x14ac:dyDescent="0.15">
      <c r="B22" s="118" t="s">
        <v>213</v>
      </c>
      <c r="C22" s="118"/>
      <c r="D22" s="118"/>
      <c r="E22" s="118"/>
      <c r="F22" s="118"/>
      <c r="G22" s="102">
        <v>0.2</v>
      </c>
      <c r="H22" s="102">
        <v>0.2</v>
      </c>
      <c r="I22" s="102">
        <v>0.2</v>
      </c>
      <c r="J22" s="102">
        <v>0.2</v>
      </c>
      <c r="K22" s="102">
        <v>0.2</v>
      </c>
    </row>
    <row r="23" spans="2:11" x14ac:dyDescent="0.15">
      <c r="B23" s="100"/>
      <c r="C23" s="100"/>
      <c r="D23" s="100"/>
      <c r="E23" s="100"/>
      <c r="F23" s="100"/>
      <c r="G23" s="28"/>
      <c r="H23" s="28"/>
      <c r="I23" s="28"/>
      <c r="J23" s="28"/>
      <c r="K23" s="28"/>
    </row>
    <row r="24" spans="2:11" x14ac:dyDescent="0.15">
      <c r="B24" s="118" t="s">
        <v>214</v>
      </c>
      <c r="C24" s="118"/>
      <c r="D24" s="118"/>
      <c r="E24" s="118"/>
      <c r="F24" s="118"/>
      <c r="G24" s="28">
        <f>G21*G22</f>
        <v>0.2</v>
      </c>
      <c r="H24" s="28">
        <f t="shared" ref="H24:K24" si="1">H21*H22</f>
        <v>0.2</v>
      </c>
      <c r="I24" s="28">
        <f t="shared" si="1"/>
        <v>0.2</v>
      </c>
      <c r="J24" s="28">
        <f t="shared" si="1"/>
        <v>0.2</v>
      </c>
      <c r="K24" s="28">
        <f t="shared" si="1"/>
        <v>0.2</v>
      </c>
    </row>
    <row r="27" spans="2:11" ht="18" x14ac:dyDescent="0.2">
      <c r="B27" s="121" t="s">
        <v>203</v>
      </c>
      <c r="C27" s="121"/>
      <c r="D27" s="100"/>
      <c r="E27" s="100"/>
      <c r="F27" s="100"/>
      <c r="G27" s="28"/>
      <c r="H27" s="28"/>
      <c r="I27" s="28"/>
      <c r="J27" s="28"/>
      <c r="K27" s="28"/>
    </row>
    <row r="28" spans="2:11" ht="13.5" x14ac:dyDescent="0.15">
      <c r="B28" s="100"/>
      <c r="C28" s="100"/>
      <c r="D28" s="100"/>
      <c r="E28" s="100"/>
      <c r="F28" s="100"/>
      <c r="G28" s="93">
        <v>2021</v>
      </c>
      <c r="H28" s="93">
        <v>2020</v>
      </c>
      <c r="I28" s="93">
        <v>2019</v>
      </c>
      <c r="J28" s="93">
        <v>2018</v>
      </c>
      <c r="K28" s="93">
        <v>2017</v>
      </c>
    </row>
    <row r="29" spans="2:11" x14ac:dyDescent="0.15">
      <c r="B29" s="122" t="s">
        <v>211</v>
      </c>
      <c r="C29" s="122"/>
      <c r="D29" s="122"/>
      <c r="E29" s="122"/>
      <c r="F29" s="122"/>
      <c r="G29" s="104">
        <f>'RIsk Measures Ratio'!O34/'RIsk Measures Ratio'!O40</f>
        <v>7.4582490329400147E-2</v>
      </c>
      <c r="H29" s="104">
        <f>'RIsk Measures Ratio'!P34/'RIsk Measures Ratio'!P40</f>
        <v>9.484548755104634E-2</v>
      </c>
      <c r="I29" s="104">
        <f>'RIsk Measures Ratio'!Q34/'RIsk Measures Ratio'!Q40</f>
        <v>9.0807931681432696E-2</v>
      </c>
      <c r="J29" s="104">
        <f>'RIsk Measures Ratio'!R34/'RIsk Measures Ratio'!R40</f>
        <v>8.6391994075642506E-2</v>
      </c>
      <c r="K29" s="104">
        <f>'RIsk Measures Ratio'!S34/'RIsk Measures Ratio'!S40</f>
        <v>9.5146959941882339E-2</v>
      </c>
    </row>
    <row r="30" spans="2:11" x14ac:dyDescent="0.15">
      <c r="B30" s="101"/>
      <c r="C30" s="101"/>
      <c r="D30" s="101"/>
      <c r="E30" s="101"/>
      <c r="F30" s="101"/>
      <c r="G30" s="102"/>
      <c r="H30" s="102"/>
      <c r="I30" s="102"/>
      <c r="J30" s="102"/>
      <c r="K30" s="102"/>
    </row>
    <row r="31" spans="2:11" x14ac:dyDescent="0.15">
      <c r="B31" s="118" t="s">
        <v>212</v>
      </c>
      <c r="C31" s="118"/>
      <c r="D31" s="118"/>
      <c r="E31" s="118"/>
      <c r="F31" s="118"/>
      <c r="G31" s="103">
        <v>4</v>
      </c>
      <c r="H31" s="103">
        <v>4</v>
      </c>
      <c r="I31" s="103">
        <v>4</v>
      </c>
      <c r="J31" s="103">
        <v>4</v>
      </c>
      <c r="K31" s="103">
        <v>5</v>
      </c>
    </row>
    <row r="32" spans="2:11" x14ac:dyDescent="0.15">
      <c r="B32" s="118" t="s">
        <v>213</v>
      </c>
      <c r="C32" s="118"/>
      <c r="D32" s="118"/>
      <c r="E32" s="118"/>
      <c r="F32" s="118"/>
      <c r="G32" s="102">
        <v>0.2</v>
      </c>
      <c r="H32" s="102">
        <v>0.2</v>
      </c>
      <c r="I32" s="102">
        <v>0.2</v>
      </c>
      <c r="J32" s="102">
        <v>0.2</v>
      </c>
      <c r="K32" s="102">
        <v>0.2</v>
      </c>
    </row>
    <row r="33" spans="2:22" x14ac:dyDescent="0.15">
      <c r="B33" s="100"/>
      <c r="C33" s="100"/>
      <c r="D33" s="100"/>
      <c r="E33" s="100"/>
      <c r="F33" s="100"/>
      <c r="G33" s="28"/>
      <c r="H33" s="28"/>
      <c r="I33" s="28"/>
      <c r="J33" s="28"/>
      <c r="K33" s="28"/>
    </row>
    <row r="34" spans="2:22" ht="13.5" x14ac:dyDescent="0.15">
      <c r="B34" s="119" t="s">
        <v>214</v>
      </c>
      <c r="C34" s="119"/>
      <c r="D34" s="119"/>
      <c r="E34" s="119"/>
      <c r="F34" s="119"/>
      <c r="G34" s="28">
        <f>G31*G32</f>
        <v>0.8</v>
      </c>
      <c r="H34" s="28">
        <f t="shared" ref="H34:K34" si="2">H31*H32</f>
        <v>0.8</v>
      </c>
      <c r="I34" s="28">
        <f t="shared" si="2"/>
        <v>0.8</v>
      </c>
      <c r="J34" s="28">
        <f t="shared" si="2"/>
        <v>0.8</v>
      </c>
      <c r="K34" s="28">
        <f t="shared" si="2"/>
        <v>1</v>
      </c>
    </row>
    <row r="35" spans="2:22" x14ac:dyDescent="0.15">
      <c r="B35" s="101"/>
      <c r="C35" s="101"/>
      <c r="D35" s="101"/>
      <c r="E35" s="101"/>
      <c r="F35" s="101"/>
      <c r="G35" s="102"/>
      <c r="H35" s="102"/>
      <c r="I35" s="102"/>
      <c r="J35" s="102"/>
      <c r="K35" s="102"/>
    </row>
    <row r="36" spans="2:22" ht="18" x14ac:dyDescent="0.2">
      <c r="B36" s="121" t="s">
        <v>204</v>
      </c>
      <c r="C36" s="121"/>
      <c r="D36" s="100"/>
      <c r="E36" s="100"/>
      <c r="F36" s="100"/>
      <c r="G36" s="28"/>
      <c r="H36" s="28"/>
      <c r="I36" s="28"/>
      <c r="J36" s="28"/>
      <c r="K36" s="28"/>
    </row>
    <row r="37" spans="2:22" ht="13.5" x14ac:dyDescent="0.15">
      <c r="B37" s="100"/>
      <c r="C37" s="100"/>
      <c r="D37" s="100"/>
      <c r="E37" s="100"/>
      <c r="F37" s="100"/>
      <c r="G37" s="93">
        <v>2021</v>
      </c>
      <c r="H37" s="93">
        <v>2020</v>
      </c>
      <c r="I37" s="93">
        <v>2019</v>
      </c>
      <c r="J37" s="93">
        <v>2018</v>
      </c>
      <c r="K37" s="93">
        <v>2017</v>
      </c>
    </row>
    <row r="38" spans="2:22" x14ac:dyDescent="0.15">
      <c r="B38" s="122" t="s">
        <v>215</v>
      </c>
      <c r="C38" s="122"/>
      <c r="D38" s="122"/>
      <c r="E38" s="122"/>
      <c r="F38" s="122"/>
      <c r="G38" s="104">
        <f>'Income statements Consolidated'!G12/'Income statements Consolidated'!G31</f>
        <v>0.43703841647888325</v>
      </c>
      <c r="H38" s="104">
        <f>'Income statements Consolidated'!H12/'Income statements Consolidated'!H31</f>
        <v>0.4049584624238417</v>
      </c>
      <c r="I38" s="104">
        <f>'Income statements Consolidated'!I12/'Income statements Consolidated'!I31</f>
        <v>0.51074302556569118</v>
      </c>
      <c r="J38" s="104">
        <f>'Income statements Consolidated'!J12/'Income statements Consolidated'!J31</f>
        <v>0.57000191621140317</v>
      </c>
      <c r="K38" s="104">
        <f>'Income statements Consolidated'!K12/'Income statements Consolidated'!K31</f>
        <v>0.47419683918967925</v>
      </c>
      <c r="M38" s="118"/>
      <c r="N38" s="118"/>
      <c r="O38" s="118"/>
      <c r="P38" s="118"/>
      <c r="Q38" s="118"/>
      <c r="R38" s="102"/>
      <c r="S38" s="102"/>
      <c r="T38" s="102"/>
      <c r="U38" s="102"/>
      <c r="V38" s="102"/>
    </row>
    <row r="39" spans="2:22" x14ac:dyDescent="0.15">
      <c r="B39" s="101"/>
      <c r="C39" s="101"/>
      <c r="D39" s="101"/>
      <c r="E39" s="101"/>
      <c r="F39" s="101"/>
      <c r="G39" s="102"/>
      <c r="H39" s="102"/>
      <c r="I39" s="102"/>
      <c r="J39" s="102"/>
      <c r="K39" s="102"/>
      <c r="M39" s="118"/>
      <c r="N39" s="118"/>
      <c r="O39" s="118"/>
      <c r="P39" s="118"/>
      <c r="Q39" s="118"/>
      <c r="R39" s="28"/>
      <c r="S39" s="28"/>
      <c r="T39" s="28"/>
      <c r="U39" s="28"/>
      <c r="V39" s="28"/>
    </row>
    <row r="40" spans="2:22" x14ac:dyDescent="0.15">
      <c r="B40" s="118" t="s">
        <v>212</v>
      </c>
      <c r="C40" s="118"/>
      <c r="D40" s="118"/>
      <c r="E40" s="118"/>
      <c r="F40" s="118"/>
      <c r="G40" s="103">
        <v>4</v>
      </c>
      <c r="H40" s="103">
        <v>4</v>
      </c>
      <c r="I40" s="103">
        <v>5</v>
      </c>
      <c r="J40" s="103">
        <v>5</v>
      </c>
      <c r="K40" s="103">
        <v>5</v>
      </c>
      <c r="M40" s="118"/>
      <c r="N40" s="118"/>
      <c r="O40" s="118"/>
      <c r="P40" s="118"/>
      <c r="Q40" s="118"/>
      <c r="R40" s="28"/>
      <c r="S40" s="28"/>
      <c r="T40" s="28"/>
      <c r="U40" s="28"/>
      <c r="V40" s="28"/>
    </row>
    <row r="41" spans="2:22" x14ac:dyDescent="0.15">
      <c r="B41" s="118" t="s">
        <v>213</v>
      </c>
      <c r="C41" s="118"/>
      <c r="D41" s="118"/>
      <c r="E41" s="118"/>
      <c r="F41" s="118"/>
      <c r="G41" s="102">
        <v>0.25</v>
      </c>
      <c r="H41" s="102">
        <v>0.25</v>
      </c>
      <c r="I41" s="102">
        <v>0.25</v>
      </c>
      <c r="J41" s="102">
        <v>0.25</v>
      </c>
      <c r="K41" s="102">
        <v>0.25</v>
      </c>
    </row>
    <row r="42" spans="2:22" x14ac:dyDescent="0.15">
      <c r="B42" s="100"/>
      <c r="C42" s="100"/>
      <c r="D42" s="100"/>
      <c r="E42" s="100"/>
      <c r="F42" s="100"/>
      <c r="G42" s="28"/>
      <c r="H42" s="28"/>
      <c r="I42" s="28"/>
      <c r="J42" s="28"/>
      <c r="K42" s="28"/>
    </row>
    <row r="43" spans="2:22" ht="13.5" x14ac:dyDescent="0.15">
      <c r="B43" s="119" t="s">
        <v>214</v>
      </c>
      <c r="C43" s="119"/>
      <c r="D43" s="119"/>
      <c r="E43" s="119"/>
      <c r="F43" s="119"/>
      <c r="G43" s="28">
        <f>G40*G41</f>
        <v>1</v>
      </c>
      <c r="H43" s="28">
        <f t="shared" ref="H43:K43" si="3">H40*H41</f>
        <v>1</v>
      </c>
      <c r="I43" s="28">
        <f t="shared" si="3"/>
        <v>1.25</v>
      </c>
      <c r="J43" s="28">
        <f t="shared" si="3"/>
        <v>1.25</v>
      </c>
      <c r="K43" s="28">
        <f t="shared" si="3"/>
        <v>1.25</v>
      </c>
    </row>
    <row r="44" spans="2:22" x14ac:dyDescent="0.15">
      <c r="B44" s="101"/>
      <c r="C44" s="101"/>
      <c r="D44" s="101"/>
      <c r="E44" s="101"/>
      <c r="F44" s="101"/>
      <c r="G44" s="28"/>
      <c r="H44" s="28"/>
      <c r="I44" s="28"/>
      <c r="J44" s="28"/>
      <c r="K44" s="28"/>
    </row>
    <row r="45" spans="2:22" ht="18" x14ac:dyDescent="0.2">
      <c r="B45" s="121" t="s">
        <v>205</v>
      </c>
      <c r="C45" s="121"/>
      <c r="D45" s="100"/>
      <c r="E45" s="100"/>
      <c r="F45" s="100"/>
      <c r="G45" s="28"/>
      <c r="H45" s="28"/>
      <c r="I45" s="28"/>
      <c r="J45" s="28"/>
      <c r="K45" s="28"/>
    </row>
    <row r="46" spans="2:22" ht="13.5" x14ac:dyDescent="0.15">
      <c r="B46" s="100"/>
      <c r="C46" s="100"/>
      <c r="D46" s="100"/>
      <c r="E46" s="100"/>
      <c r="F46" s="100"/>
      <c r="G46" s="93">
        <v>2021</v>
      </c>
      <c r="H46" s="93">
        <v>2020</v>
      </c>
      <c r="I46" s="93">
        <v>2019</v>
      </c>
      <c r="J46" s="93">
        <v>2018</v>
      </c>
      <c r="K46" s="93">
        <v>2017</v>
      </c>
    </row>
    <row r="47" spans="2:22" x14ac:dyDescent="0.15">
      <c r="B47" s="123" t="s">
        <v>207</v>
      </c>
      <c r="C47" s="123"/>
      <c r="D47" s="123"/>
      <c r="E47" s="123"/>
      <c r="F47" s="123"/>
      <c r="G47" s="104">
        <f>'Profitability Ratios'!G21</f>
        <v>0.1764261441179992</v>
      </c>
      <c r="H47" s="104">
        <f>'Profitability Ratios'!H21</f>
        <v>0.15317921733324227</v>
      </c>
      <c r="I47" s="104">
        <f>'Profitability Ratios'!I21</f>
        <v>0.13975871521441802</v>
      </c>
      <c r="J47" s="104">
        <f>'Profitability Ratios'!J21</f>
        <v>0.13491207763764526</v>
      </c>
      <c r="K47" s="104">
        <f>'Profitability Ratios'!K21</f>
        <v>0.14084151058710798</v>
      </c>
    </row>
    <row r="49" spans="2:11" x14ac:dyDescent="0.15">
      <c r="B49" s="118" t="s">
        <v>212</v>
      </c>
      <c r="C49" s="118"/>
      <c r="D49" s="118"/>
      <c r="E49" s="118"/>
      <c r="F49" s="118"/>
      <c r="G49" s="103">
        <v>2</v>
      </c>
      <c r="H49" s="103">
        <v>3</v>
      </c>
      <c r="I49" s="103">
        <v>3</v>
      </c>
      <c r="J49" s="103">
        <v>3</v>
      </c>
      <c r="K49" s="103">
        <v>3</v>
      </c>
    </row>
    <row r="50" spans="2:11" x14ac:dyDescent="0.15">
      <c r="B50" s="118" t="s">
        <v>213</v>
      </c>
      <c r="C50" s="118"/>
      <c r="D50" s="118"/>
      <c r="E50" s="118"/>
      <c r="F50" s="118"/>
      <c r="G50" s="102">
        <v>0.15</v>
      </c>
      <c r="H50" s="102">
        <v>0.15</v>
      </c>
      <c r="I50" s="102">
        <v>0.15</v>
      </c>
      <c r="J50" s="102">
        <v>0.15</v>
      </c>
      <c r="K50" s="102">
        <v>0.15</v>
      </c>
    </row>
    <row r="51" spans="2:11" x14ac:dyDescent="0.15">
      <c r="B51" s="100"/>
      <c r="C51" s="100"/>
      <c r="D51" s="100"/>
      <c r="E51" s="100"/>
      <c r="F51" s="100"/>
      <c r="G51" s="28"/>
      <c r="H51" s="28"/>
      <c r="I51" s="28"/>
      <c r="J51" s="28"/>
      <c r="K51" s="28"/>
    </row>
    <row r="52" spans="2:11" ht="13.5" x14ac:dyDescent="0.15">
      <c r="B52" s="119" t="s">
        <v>214</v>
      </c>
      <c r="C52" s="119"/>
      <c r="D52" s="119"/>
      <c r="E52" s="119"/>
      <c r="F52" s="119"/>
      <c r="G52" s="28">
        <f>G49*G50</f>
        <v>0.3</v>
      </c>
      <c r="H52" s="28">
        <f t="shared" ref="H52:K52" si="4">H49*H50</f>
        <v>0.44999999999999996</v>
      </c>
      <c r="I52" s="28">
        <f t="shared" si="4"/>
        <v>0.44999999999999996</v>
      </c>
      <c r="J52" s="28">
        <f t="shared" si="4"/>
        <v>0.44999999999999996</v>
      </c>
      <c r="K52" s="28">
        <f t="shared" si="4"/>
        <v>0.44999999999999996</v>
      </c>
    </row>
    <row r="54" spans="2:11" x14ac:dyDescent="0.15">
      <c r="B54" s="123" t="s">
        <v>206</v>
      </c>
      <c r="C54" s="123"/>
      <c r="D54" s="123"/>
      <c r="E54" s="123"/>
      <c r="F54" s="123"/>
      <c r="G54" s="104">
        <f>'Profitability Ratios'!G22</f>
        <v>1.4762469684234321E-2</v>
      </c>
      <c r="H54" s="104">
        <f>'Profitability Ratios'!H22</f>
        <v>1.5630856007167581E-2</v>
      </c>
      <c r="I54" s="104">
        <f>'Profitability Ratios'!I22</f>
        <v>1.4853610043397249E-2</v>
      </c>
      <c r="J54" s="104">
        <f>'Profitability Ratios'!J22</f>
        <v>1.2878598993098584E-2</v>
      </c>
      <c r="K54" s="104">
        <f>'Profitability Ratios'!K22</f>
        <v>1.5867499137397011E-2</v>
      </c>
    </row>
    <row r="56" spans="2:11" x14ac:dyDescent="0.15">
      <c r="B56" s="118" t="s">
        <v>212</v>
      </c>
      <c r="C56" s="118"/>
      <c r="D56" s="118"/>
      <c r="E56" s="118"/>
      <c r="F56" s="118"/>
      <c r="G56" s="103">
        <v>2</v>
      </c>
      <c r="H56" s="103">
        <v>1</v>
      </c>
      <c r="I56" s="103">
        <v>2</v>
      </c>
      <c r="J56" s="103">
        <v>2</v>
      </c>
      <c r="K56" s="103">
        <v>1</v>
      </c>
    </row>
    <row r="57" spans="2:11" x14ac:dyDescent="0.15">
      <c r="B57" s="118" t="s">
        <v>213</v>
      </c>
      <c r="C57" s="118"/>
      <c r="D57" s="118"/>
      <c r="E57" s="118"/>
      <c r="F57" s="118"/>
      <c r="G57" s="102">
        <v>0.15</v>
      </c>
      <c r="H57" s="102">
        <v>0.15</v>
      </c>
      <c r="I57" s="102">
        <v>0.15</v>
      </c>
      <c r="J57" s="102">
        <v>0.15</v>
      </c>
      <c r="K57" s="102">
        <v>0.15</v>
      </c>
    </row>
    <row r="58" spans="2:11" x14ac:dyDescent="0.15">
      <c r="B58" s="100"/>
      <c r="C58" s="100"/>
      <c r="D58" s="100"/>
      <c r="E58" s="100"/>
      <c r="F58" s="100"/>
      <c r="G58" s="28"/>
      <c r="H58" s="28"/>
      <c r="I58" s="28"/>
      <c r="J58" s="28"/>
      <c r="K58" s="28"/>
    </row>
    <row r="59" spans="2:11" ht="13.5" x14ac:dyDescent="0.15">
      <c r="B59" s="119" t="s">
        <v>214</v>
      </c>
      <c r="C59" s="119"/>
      <c r="D59" s="119"/>
      <c r="E59" s="119"/>
      <c r="F59" s="119"/>
      <c r="G59" s="28">
        <f>G56*G57</f>
        <v>0.3</v>
      </c>
      <c r="H59" s="28">
        <f t="shared" ref="H59:K59" si="5">H56*H57</f>
        <v>0.15</v>
      </c>
      <c r="I59" s="28">
        <f t="shared" si="5"/>
        <v>0.3</v>
      </c>
      <c r="J59" s="28">
        <f t="shared" si="5"/>
        <v>0.3</v>
      </c>
      <c r="K59" s="28">
        <f t="shared" si="5"/>
        <v>0.15</v>
      </c>
    </row>
    <row r="62" spans="2:11" ht="18" x14ac:dyDescent="0.2">
      <c r="B62" s="121" t="s">
        <v>208</v>
      </c>
      <c r="C62" s="121"/>
      <c r="D62" s="100"/>
      <c r="E62" s="100"/>
      <c r="F62" s="100"/>
      <c r="G62" s="28"/>
      <c r="H62" s="28"/>
      <c r="I62" s="28"/>
      <c r="J62" s="28"/>
      <c r="K62" s="28"/>
    </row>
    <row r="63" spans="2:11" ht="13.5" x14ac:dyDescent="0.15">
      <c r="B63" s="100"/>
      <c r="C63" s="100"/>
      <c r="D63" s="100"/>
      <c r="E63" s="100"/>
      <c r="F63" s="100"/>
      <c r="G63" s="93">
        <v>2021</v>
      </c>
      <c r="H63" s="93">
        <v>2020</v>
      </c>
      <c r="I63" s="93">
        <v>2019</v>
      </c>
      <c r="J63" s="93">
        <v>2018</v>
      </c>
      <c r="K63" s="93">
        <v>2017</v>
      </c>
    </row>
    <row r="64" spans="2:11" x14ac:dyDescent="0.15">
      <c r="B64" s="123" t="s">
        <v>209</v>
      </c>
      <c r="C64" s="123"/>
      <c r="D64" s="123"/>
      <c r="E64" s="123"/>
      <c r="F64" s="123"/>
      <c r="G64" s="35">
        <f>'RIsk Measures Ratio'!O40/'RIsk Measures Ratio'!O44</f>
        <v>0.44467127430902775</v>
      </c>
      <c r="H64" s="35">
        <f>'RIsk Measures Ratio'!P40/'RIsk Measures Ratio'!P44</f>
        <v>0.39437656590421383</v>
      </c>
      <c r="I64" s="35">
        <f>'RIsk Measures Ratio'!Q40/'RIsk Measures Ratio'!Q44</f>
        <v>0.47911466033519862</v>
      </c>
      <c r="J64" s="35">
        <f>'RIsk Measures Ratio'!R40/'RIsk Measures Ratio'!R44</f>
        <v>0.54029737055710825</v>
      </c>
      <c r="K64" s="35">
        <f>'RIsk Measures Ratio'!S40/'RIsk Measures Ratio'!S44</f>
        <v>0.50039227039458001</v>
      </c>
    </row>
    <row r="66" spans="2:11" x14ac:dyDescent="0.15">
      <c r="B66" s="118" t="s">
        <v>212</v>
      </c>
      <c r="C66" s="118"/>
      <c r="D66" s="118"/>
      <c r="E66" s="118"/>
      <c r="F66" s="118"/>
      <c r="G66" s="103">
        <v>1</v>
      </c>
      <c r="H66" s="103">
        <v>1</v>
      </c>
      <c r="I66" s="103">
        <v>1</v>
      </c>
      <c r="J66" s="103">
        <v>1</v>
      </c>
      <c r="K66" s="103">
        <v>1</v>
      </c>
    </row>
    <row r="67" spans="2:11" x14ac:dyDescent="0.15">
      <c r="B67" s="118" t="s">
        <v>213</v>
      </c>
      <c r="C67" s="118"/>
      <c r="D67" s="118"/>
      <c r="E67" s="118"/>
      <c r="F67" s="118"/>
      <c r="G67" s="102">
        <v>0.1</v>
      </c>
      <c r="H67" s="102">
        <v>0.1</v>
      </c>
      <c r="I67" s="102">
        <v>0.1</v>
      </c>
      <c r="J67" s="102">
        <v>0.1</v>
      </c>
      <c r="K67" s="102">
        <v>0.1</v>
      </c>
    </row>
    <row r="68" spans="2:11" x14ac:dyDescent="0.15">
      <c r="B68" s="100"/>
      <c r="C68" s="100"/>
      <c r="D68" s="100"/>
      <c r="E68" s="100"/>
      <c r="F68" s="100"/>
      <c r="G68" s="28"/>
      <c r="H68" s="28"/>
      <c r="I68" s="28"/>
      <c r="J68" s="28"/>
      <c r="K68" s="28"/>
    </row>
    <row r="69" spans="2:11" ht="13.5" x14ac:dyDescent="0.15">
      <c r="B69" s="119" t="s">
        <v>214</v>
      </c>
      <c r="C69" s="119"/>
      <c r="D69" s="119"/>
      <c r="E69" s="119"/>
      <c r="F69" s="119"/>
      <c r="G69" s="28">
        <f>G66*G67</f>
        <v>0.1</v>
      </c>
      <c r="H69" s="28">
        <f t="shared" ref="H69:K69" si="6">H66*H67</f>
        <v>0.1</v>
      </c>
      <c r="I69" s="28">
        <f t="shared" si="6"/>
        <v>0.1</v>
      </c>
      <c r="J69" s="28">
        <f t="shared" si="6"/>
        <v>0.1</v>
      </c>
      <c r="K69" s="28">
        <f t="shared" si="6"/>
        <v>0.1</v>
      </c>
    </row>
    <row r="71" spans="2:11" ht="18" x14ac:dyDescent="0.2">
      <c r="B71" s="121" t="s">
        <v>210</v>
      </c>
      <c r="C71" s="121"/>
    </row>
    <row r="72" spans="2:11" ht="13.5" x14ac:dyDescent="0.15">
      <c r="G72" s="93">
        <v>2021</v>
      </c>
      <c r="H72" s="93">
        <v>2020</v>
      </c>
      <c r="I72" s="93">
        <v>2019</v>
      </c>
      <c r="J72" s="93">
        <v>2018</v>
      </c>
      <c r="K72" s="93">
        <v>2017</v>
      </c>
    </row>
    <row r="73" spans="2:11" x14ac:dyDescent="0.15">
      <c r="B73" s="123" t="s">
        <v>216</v>
      </c>
      <c r="C73" s="123"/>
      <c r="D73" s="123"/>
      <c r="E73" s="123"/>
      <c r="F73" s="123"/>
      <c r="G73" s="35">
        <f>N11/'RIsk Measures Ratio'!O4</f>
        <v>0.5776404372371936</v>
      </c>
      <c r="H73" s="35">
        <f>O11/'RIsk Measures Ratio'!P4</f>
        <v>0.59937006933352011</v>
      </c>
      <c r="I73" s="35">
        <f>P11/'RIsk Measures Ratio'!Q4</f>
        <v>0.55591799835221845</v>
      </c>
      <c r="J73" s="35">
        <f>Q11/'RIsk Measures Ratio'!R4</f>
        <v>0.72136071179873651</v>
      </c>
      <c r="K73" s="35">
        <f>R11/'RIsk Measures Ratio'!S4</f>
        <v>0.57833522295430817</v>
      </c>
    </row>
    <row r="75" spans="2:11" x14ac:dyDescent="0.15">
      <c r="B75" s="118" t="s">
        <v>212</v>
      </c>
      <c r="C75" s="118"/>
      <c r="D75" s="118"/>
      <c r="E75" s="118"/>
      <c r="F75" s="118"/>
      <c r="G75" s="103">
        <v>5</v>
      </c>
      <c r="H75" s="103">
        <v>4</v>
      </c>
      <c r="I75" s="103">
        <v>5</v>
      </c>
      <c r="J75" s="103">
        <v>2</v>
      </c>
      <c r="K75" s="103">
        <v>5</v>
      </c>
    </row>
    <row r="76" spans="2:11" x14ac:dyDescent="0.15">
      <c r="B76" s="118" t="s">
        <v>213</v>
      </c>
      <c r="C76" s="118"/>
      <c r="D76" s="118"/>
      <c r="E76" s="118"/>
      <c r="F76" s="118"/>
      <c r="G76" s="102">
        <v>0.1</v>
      </c>
      <c r="H76" s="102">
        <v>0.1</v>
      </c>
      <c r="I76" s="102">
        <v>0.1</v>
      </c>
      <c r="J76" s="102">
        <v>0.1</v>
      </c>
      <c r="K76" s="102">
        <v>0.1</v>
      </c>
    </row>
    <row r="77" spans="2:11" x14ac:dyDescent="0.15">
      <c r="B77" s="100"/>
      <c r="C77" s="100"/>
      <c r="D77" s="100"/>
      <c r="E77" s="100"/>
      <c r="F77" s="100"/>
      <c r="G77" s="28"/>
      <c r="H77" s="28"/>
      <c r="I77" s="28"/>
      <c r="J77" s="28"/>
      <c r="K77" s="28"/>
    </row>
    <row r="78" spans="2:11" ht="13.5" x14ac:dyDescent="0.15">
      <c r="B78" s="119" t="s">
        <v>214</v>
      </c>
      <c r="C78" s="119"/>
      <c r="D78" s="119"/>
      <c r="E78" s="119"/>
      <c r="F78" s="119"/>
      <c r="G78" s="28">
        <f>G75*G76</f>
        <v>0.5</v>
      </c>
      <c r="H78" s="28">
        <f t="shared" ref="H78:K78" si="7">H75*H76</f>
        <v>0.4</v>
      </c>
      <c r="I78" s="28">
        <f t="shared" si="7"/>
        <v>0.5</v>
      </c>
      <c r="J78" s="28">
        <f t="shared" si="7"/>
        <v>0.2</v>
      </c>
      <c r="K78" s="28">
        <f t="shared" si="7"/>
        <v>0.5</v>
      </c>
    </row>
    <row r="81" spans="2:11" x14ac:dyDescent="0.15">
      <c r="B81" s="120" t="s">
        <v>222</v>
      </c>
      <c r="C81" s="120"/>
      <c r="D81" s="120"/>
      <c r="E81" s="120"/>
      <c r="F81" s="120"/>
      <c r="G81" s="82">
        <f>G24+G34+G43+G52+G59+G69+G78</f>
        <v>3.1999999999999997</v>
      </c>
      <c r="H81" s="82">
        <f t="shared" ref="H81:K81" si="8">H24+H34+H43+H52+H59+H69+H78</f>
        <v>3.1</v>
      </c>
      <c r="I81" s="82">
        <f t="shared" si="8"/>
        <v>3.6</v>
      </c>
      <c r="J81" s="82">
        <f t="shared" si="8"/>
        <v>3.3000000000000003</v>
      </c>
      <c r="K81" s="106">
        <f t="shared" si="8"/>
        <v>3.6500000000000004</v>
      </c>
    </row>
  </sheetData>
  <mergeCells count="38">
    <mergeCell ref="B31:F31"/>
    <mergeCell ref="M38:Q38"/>
    <mergeCell ref="B47:F47"/>
    <mergeCell ref="B32:F32"/>
    <mergeCell ref="M39:Q39"/>
    <mergeCell ref="M40:Q40"/>
    <mergeCell ref="B66:F66"/>
    <mergeCell ref="B67:F67"/>
    <mergeCell ref="B69:F69"/>
    <mergeCell ref="B49:F49"/>
    <mergeCell ref="B50:F50"/>
    <mergeCell ref="B52:F52"/>
    <mergeCell ref="B56:F56"/>
    <mergeCell ref="B57:F57"/>
    <mergeCell ref="B54:F54"/>
    <mergeCell ref="B64:F64"/>
    <mergeCell ref="B62:C62"/>
    <mergeCell ref="B45:C45"/>
    <mergeCell ref="B17:C17"/>
    <mergeCell ref="B27:C27"/>
    <mergeCell ref="B38:F38"/>
    <mergeCell ref="B40:F40"/>
    <mergeCell ref="B41:F41"/>
    <mergeCell ref="B43:F43"/>
    <mergeCell ref="B59:F59"/>
    <mergeCell ref="B34:F34"/>
    <mergeCell ref="B36:C36"/>
    <mergeCell ref="B19:F19"/>
    <mergeCell ref="B29:F29"/>
    <mergeCell ref="B21:F21"/>
    <mergeCell ref="B22:F22"/>
    <mergeCell ref="B24:F24"/>
    <mergeCell ref="B75:F75"/>
    <mergeCell ref="B76:F76"/>
    <mergeCell ref="B78:F78"/>
    <mergeCell ref="B81:F81"/>
    <mergeCell ref="B71:C71"/>
    <mergeCell ref="B73:F7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statements Consolidated</vt:lpstr>
      <vt:lpstr>Balance Sheet Consolidated</vt:lpstr>
      <vt:lpstr>Profitability Ratios</vt:lpstr>
      <vt:lpstr>RIsk Measures Ratio</vt:lpstr>
      <vt:lpstr>C.A.M.E.L.S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MyUserName</cp:lastModifiedBy>
  <dcterms:created xsi:type="dcterms:W3CDTF">2022-03-30T13:07:04Z</dcterms:created>
  <dcterms:modified xsi:type="dcterms:W3CDTF">2022-04-11T18:26:24Z</dcterms:modified>
</cp:coreProperties>
</file>